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on Treleaven\Drone_SOP\drone_jobs\"/>
    </mc:Choice>
  </mc:AlternateContent>
  <xr:revisionPtr revIDLastSave="0" documentId="13_ncr:1_{80E1A936-6C8B-4C04-95B0-25538A98FF4B}" xr6:coauthVersionLast="47" xr6:coauthVersionMax="47" xr10:uidLastSave="{00000000-0000-0000-0000-000000000000}"/>
  <bookViews>
    <workbookView xWindow="-120" yWindow="-120" windowWidth="29040" windowHeight="15720" xr2:uid="{40851991-480D-4709-B516-BD0F14901041}"/>
  </bookViews>
  <sheets>
    <sheet name="jobs_review"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9" i="1"/>
  <c r="S40" i="1"/>
  <c r="S44" i="1"/>
  <c r="S50" i="1"/>
  <c r="S41" i="1"/>
  <c r="S42" i="1"/>
  <c r="S48" i="1"/>
  <c r="S49" i="1"/>
  <c r="S47" i="1"/>
  <c r="S36" i="1"/>
  <c r="S46" i="1"/>
  <c r="S43" i="1"/>
  <c r="S37" i="1"/>
  <c r="S35" i="1"/>
  <c r="S38" i="1"/>
  <c r="S45" i="1"/>
  <c r="S51" i="1"/>
  <c r="S55" i="1"/>
  <c r="S54" i="1"/>
  <c r="S52" i="1"/>
  <c r="S53" i="1"/>
</calcChain>
</file>

<file path=xl/sharedStrings.xml><?xml version="1.0" encoding="utf-8"?>
<sst xmlns="http://schemas.openxmlformats.org/spreadsheetml/2006/main" count="745" uniqueCount="281">
  <si>
    <t>title</t>
  </si>
  <si>
    <t>company</t>
  </si>
  <si>
    <t>location</t>
  </si>
  <si>
    <t>source</t>
  </si>
  <si>
    <t>query_family</t>
  </si>
  <si>
    <t>matched_query</t>
  </si>
  <si>
    <t>category</t>
  </si>
  <si>
    <t>type</t>
  </si>
  <si>
    <t>confidence</t>
  </si>
  <si>
    <t>match_reason</t>
  </si>
  <si>
    <t>summary</t>
  </si>
  <si>
    <t>link</t>
  </si>
  <si>
    <t>qualification</t>
  </si>
  <si>
    <t>interest_level</t>
  </si>
  <si>
    <t>review_rank</t>
  </si>
  <si>
    <t>review_comments</t>
  </si>
  <si>
    <t>next_action</t>
  </si>
  <si>
    <t>last_reviewed</t>
  </si>
  <si>
    <t>drone technician</t>
  </si>
  <si>
    <t>High Road Traffic Control LTD</t>
  </si>
  <si>
    <t>Canada</t>
  </si>
  <si>
    <t>jobbank</t>
  </si>
  <si>
    <t>mapping</t>
  </si>
  <si>
    <t>drone survey</t>
  </si>
  <si>
    <t>general</t>
  </si>
  <si>
    <t>unknown</t>
  </si>
  <si>
    <t>job-like URL; drone terms: drone; job terms: job, technician; source=jobbank; query_family=mapping; drone term in title/company; core term in title; core drone/uav signal</t>
  </si>
  <si>
    <t>indeed.com drone technician April 22, 2026 High Road Traffic Control LTD Location Salary $27.00 to $30.00 hourly indeed.com Job number: 10109819531 drone technician - Save to favourites Your favourites To add a job posting to your favourites, you need a Job Bank account. Sign in or sign up now! Sign in Sign up for a Plus account</t>
  </si>
  <si>
    <t>https://www.jobbank.gc.ca/jobsearch/jobposting/49383126?source=searchresults</t>
  </si>
  <si>
    <t>unreviewed</t>
  </si>
  <si>
    <t>Nickel City Motors</t>
  </si>
  <si>
    <t>Thompson (MB)</t>
  </si>
  <si>
    <t>New indeed.com drone technician April 30, 2026 Nickel City Motors Location Thompson (MB) Salary $25.00 to $40.00 hourly indeed.com Job number: 10118482958 drone technician - Save to favourites Your favourites To add a job posting to your favourites, you need a Job Bank account. Sign in or sign up now! Sign in Sign up for a Plus account</t>
  </si>
  <si>
    <t>https://www.jobbank.gc.ca/jobsearch/jobposting/49428014?source=searchresults</t>
  </si>
  <si>
    <t>Allamani Technical Solutions Ltd</t>
  </si>
  <si>
    <t>Peace River (AB)</t>
  </si>
  <si>
    <t>New indeed.com drone technician April 29, 2026 Allamani Technical Solutions Ltd Location Peace River (AB) Salary $50,000.00 to $90,000.00 annually indeed.com Job number: 10117123392 drone technician - Save to favourites Your favourites To add a job posting to your favourites, you need a Job Bank account. Sign in or sign up now! Sign in Sign up for a Plus account</t>
  </si>
  <si>
    <t>https://www.jobbank.gc.ca/jobsearch/jobposting/49421037?source=searchresults</t>
  </si>
  <si>
    <t>Judahcare Inc.</t>
  </si>
  <si>
    <t>Parry Sound (ON)</t>
  </si>
  <si>
    <t>New indeed.com drone technician April 26, 2026 Judahcare Inc. Location Parry Sound (ON) Salary $35.00 to $45.00 hourly indeed.com Job number: 10113513247 drone technician - Save to favourites Your favourites To add a job posting to your favourites, you need a Job Bank account. Sign in or sign up now! Sign in Sign up for a Plus account</t>
  </si>
  <si>
    <t>https://www.jobbank.gc.ca/jobsearch/jobposting/49401824?source=searchresults</t>
  </si>
  <si>
    <t>N.Bar</t>
  </si>
  <si>
    <t>Vancouver (BC)</t>
  </si>
  <si>
    <t>New indeed.com drone technician April 30, 2026 N.Bar Location Vancouver (BC) Salary $23.00 to $35.00 hourly indeed.com Job number: 10118657874 drone technician - Save to favourites Your favourites To add a job posting to your favourites, you need a Job Bank account. Sign in or sign up now! Sign in Sign up for a Plus account</t>
  </si>
  <si>
    <t>https://www.jobbank.gc.ca/jobsearch/jobposting/49427932?source=searchresults</t>
  </si>
  <si>
    <t>The Glam Lab.</t>
  </si>
  <si>
    <t>Richmond (BC)</t>
  </si>
  <si>
    <t>New indeed.com drone technician April 26, 2026 The Glam Lab. Location Richmond (BC) Salary $19.05 to $39.42 hourly indeed.com Job number: 10113581603 drone technician - Save to favourites Your favourites To add a job posting to your favourites, you need a Job Bank account. Sign in or sign up now! Sign in Sign up for a Plus account</t>
  </si>
  <si>
    <t>https://www.jobbank.gc.ca/jobsearch/jobposting/49402155?source=searchresults</t>
  </si>
  <si>
    <t>Raincity Technical Services Ltd.</t>
  </si>
  <si>
    <t>New indeed.com drone technician April 24, 2026 Raincity Technical Services Ltd. Location Vancouver (BC) Salary $55,000.00 to $100,000.00 annually indeed.com Job number: 10112420688 drone technician - Save to favourites Your favourites To add a job posting to your favourites, you need a Job Bank account. Sign in or sign up now! Sign in Sign up for a Plus account</t>
  </si>
  <si>
    <t>https://www.jobbank.gc.ca/jobsearch/jobposting/49395396?source=searchresults</t>
  </si>
  <si>
    <t>BCS INC.</t>
  </si>
  <si>
    <t>Oakville (ON)</t>
  </si>
  <si>
    <t>indeed.com drone technician April 23, 2026 BCS INC. Location Oakville (ON) Salary $22.00 to $27.00 hourly indeed.com Job number: 10110646244 drone technician - Save to favourites Your favourites To add a job posting to your favourites, you need a Job Bank account. Sign in or sign up now! Sign in Sign up for a Plus account</t>
  </si>
  <si>
    <t>https://www.jobbank.gc.ca/jobsearch/jobposting/49385273?source=searchresults</t>
  </si>
  <si>
    <t>Softwash Butler</t>
  </si>
  <si>
    <t>Ottawa (ON)</t>
  </si>
  <si>
    <t>New indeed.com drone technician April 27, 2026 Softwash Butler Location Ottawa (ON) Salary $30.00 to $40.00 hourly indeed.com Job number: 10114560864 drone technician - Save to favourites Your favourites To add a job posting to your favourites, you need a Job Bank account. Sign in or sign up now! Sign in Sign up for a Plus account</t>
  </si>
  <si>
    <t>https://www.jobbank.gc.ca/jobsearch/jobposting/49406381?source=searchresults</t>
  </si>
  <si>
    <t>Rocky Mountain Phoenix Inc.</t>
  </si>
  <si>
    <t>Calgary (AB)</t>
  </si>
  <si>
    <t>indeed.com drone technician April 22, 2026 Rocky Mountain Phoenix Inc. Location Calgary (AB) Salary $48,000.00 to $52,000.00 annually indeed.com Job number: 10109475201 drone technician - Save to favourites Your favourites To add a job posting to your favourites, you need a Job Bank account. Sign in or sign up now! Sign in Sign up for a Plus account</t>
  </si>
  <si>
    <t>https://www.jobbank.gc.ca/jobsearch/jobposting/49381244?source=searchresults</t>
  </si>
  <si>
    <t>Bean Chevrolet Buick GMC Ltd</t>
  </si>
  <si>
    <t>Almonte (ON)</t>
  </si>
  <si>
    <t>indeed.com drone technician April 22, 2026 Bean Chevrolet Buick GMC Ltd Location Almonte (ON) Salary $18.00 hourly indeed.com Job number: 10109167576 drone technician - Save to favourites Your favourites To add a job posting to your favourites, you need a Job Bank account. Sign in or sign up now! Sign in Sign up for a Plus account</t>
  </si>
  <si>
    <t>https://www.jobbank.gc.ca/jobsearch/jobposting/49379238?source=searchresults</t>
  </si>
  <si>
    <t>Microland</t>
  </si>
  <si>
    <t>Markham (ON)</t>
  </si>
  <si>
    <t>indeed.com drone technician April 18, 2026 Microland Location Markham (ON) Salary $30.00 to $40.00 hourly indeed.com Job number: 10105457116 drone technician - Save to favourites Your favourites To add a job posting to your favourites, you need a Job Bank account. Sign in or sign up now! Sign in Sign up for a Plus account</t>
  </si>
  <si>
    <t>https://www.jobbank.gc.ca/jobsearch/jobposting/49359613?source=searchresults</t>
  </si>
  <si>
    <t>Pacific Coast Fruit Products Ltd.</t>
  </si>
  <si>
    <t>Abbotsford (BC)</t>
  </si>
  <si>
    <t>indeed.com drone technician April 15, 2026 Pacific Coast Fruit Products Ltd. Location Abbotsford (BC) Salary $24.20 to $25.51 hourly indeed.com Job number: 10102196629 drone technician - Save to favourites Your favourites To add a job posting to your favourites, you need a Job Bank account. Sign in or sign up now! Sign in Sign up for a Plus account</t>
  </si>
  <si>
    <t>https://www.jobbank.gc.ca/jobsearch/jobposting/49343592?source=searchresults</t>
  </si>
  <si>
    <t>Homa</t>
  </si>
  <si>
    <t>indeed.com drone technician April 17, 2026 Homa Location Ottawa (ON) Salary $30.00 to $40.00 hourly indeed.com Job number: 10104382989 drone technician - Save to favourites Your favourites To add a job posting to your favourites, you need a Job Bank account. Sign in or sign up now! Sign in Sign up for a Plus account</t>
  </si>
  <si>
    <t>https://www.jobbank.gc.ca/jobsearch/jobposting/49353302?source=searchresults</t>
  </si>
  <si>
    <t>Alberta Cycle Motorsports</t>
  </si>
  <si>
    <t>Edmonton (AB)</t>
  </si>
  <si>
    <t>indeed.com drone technician April 16, 2026 Alberta Cycle Motorsports Location Edmonton (AB) Salary $25.00 to $41.10 hourly indeed.com Job number: 10103435852 drone technician - Save to favourites Your favourites To add a job posting to your favourites, you need a Job Bank account. Sign in or sign up now! Sign in Sign up for a Plus account</t>
  </si>
  <si>
    <t>https://www.jobbank.gc.ca/jobsearch/jobposting/49350510?source=searchresults</t>
  </si>
  <si>
    <t>The Whole Show Restorations Inc.</t>
  </si>
  <si>
    <t>Parksville (BC)</t>
  </si>
  <si>
    <t>indeed.com drone technician April 13, 2026 The Whole Show Restorations Inc. Location Parksville (BC) Salary $27.00 to $31.00 hourly indeed.com Job number: 10099459151 drone technician - Save to favourites Your favourites To add a job posting to your favourites, you need a Job Bank account. Sign in or sign up now! Sign in Sign up for a Plus account</t>
  </si>
  <si>
    <t>https://www.jobbank.gc.ca/jobsearch/jobposting/49304224?source=searchresults</t>
  </si>
  <si>
    <t>Woody's RV World</t>
  </si>
  <si>
    <t>Leduc (AB)</t>
  </si>
  <si>
    <t>photogrammetry drone</t>
  </si>
  <si>
    <t>indeed.com drone technician April 13, 2026 Woody's RV World Location Leduc (AB) Salary $17.00 to $21.00 hourly indeed.com Job number: 10099179318 drone technician - Save to favourites Your favourites To add a job posting to your favourites, you need a Job Bank account. Sign in or sign up now! Sign in Sign up for a Plus account</t>
  </si>
  <si>
    <t>https://www.jobbank.gc.ca/jobsearch/jobposting/49302259?source=searchresults</t>
  </si>
  <si>
    <t>Synergy Group of Companies</t>
  </si>
  <si>
    <t>Saint John (NB)</t>
  </si>
  <si>
    <t>indeed.com drone technician April 14, 2026 Synergy Group of Companies Location Saint John (NB) Salary $25.00 to $35.00 hourly indeed.com Job number: 10100363847 drone technician - Save to favourites Your favourites To add a job posting to your favourites, you need a Job Bank account. Sign in or sign up now! Sign in Sign up for a Plus account</t>
  </si>
  <si>
    <t>https://www.jobbank.gc.ca/jobsearch/jobposting/49328981?source=searchresults</t>
  </si>
  <si>
    <t>St. John's (NL)</t>
  </si>
  <si>
    <t>indeed.com drone technician April 14, 2026 Synergy Group of Companies Location St. John's (NL) Salary $25.00 to $38.00 hourly indeed.com Job number: 10100360776 drone technician - Save to favourites Your favourites To add a job posting to your favourites, you need a Job Bank account. Sign in or sign up now! Sign in Sign up for a Plus account</t>
  </si>
  <si>
    <t>https://www.jobbank.gc.ca/jobsearch/jobposting/49329209?source=searchresults</t>
  </si>
  <si>
    <t>Central Transport Refrigeration</t>
  </si>
  <si>
    <t>Winnipeg (MB)</t>
  </si>
  <si>
    <t>indeed.com drone technician April 10, 2026 Central Transport Refrigeration Location Winnipeg (MB) Salary $18.00 hourly indeed.com Job number: 10097098634 drone technician - Save to favourites Your favourites To add a job posting to your favourites, you need a Job Bank account. Sign in or sign up now! Sign in Sign up for a Plus account</t>
  </si>
  <si>
    <t>https://www.jobbank.gc.ca/jobsearch/jobposting/49265688?source=searchresults</t>
  </si>
  <si>
    <t>Lewis Motor Sales Inc</t>
  </si>
  <si>
    <t>Collingwood (ON)</t>
  </si>
  <si>
    <t>indeed.com drone technician April 09, 2026 Lewis Motor Sales Inc Location Collingwood (ON) Salary $35.00 to $42.00 hourly indeed.com Job number: 10095349991 drone technician - Save to favourites Your favourites To add a job posting to your favourites, you need a Job Bank account. Sign in or sign up now! Sign in Sign up for a Plus account</t>
  </si>
  <si>
    <t>https://www.jobbank.gc.ca/jobsearch/jobposting/49244112?source=searchresults</t>
  </si>
  <si>
    <t>NuHorizon Plumbing &amp; Heating Inc.</t>
  </si>
  <si>
    <t>indeed.com drone technician April 10, 2026 NuHorizon Plumbing &amp; Heating Inc. Location Ottawa (ON) Salary $47.00 to $67.00 hourly indeed.com Job number: 10097110817 drone technician - Save to favourites Your favourites To add a job posting to your favourites, you need a Job Bank account. Sign in or sign up now! Sign in Sign up for a Plus account</t>
  </si>
  <si>
    <t>https://www.jobbank.gc.ca/jobsearch/jobposting/49265748?source=searchresults</t>
  </si>
  <si>
    <t>Great West Tire&amp; Automotive</t>
  </si>
  <si>
    <t>Moose Jaw (SK)</t>
  </si>
  <si>
    <t>indeed.com drone technician April 08, 2026 Great West Tire&amp; Automotive Location Moose Jaw (SK) Salary $18.00 to $22.00 hourly indeed.com Job number: 10094392661 drone technician - Save to favourites Your favourites To add a job posting to your favourites, you need a Job Bank account. Sign in or sign up now! Sign in Sign up for a Plus account</t>
  </si>
  <si>
    <t>https://www.jobbank.gc.ca/jobsearch/jobposting/49240266?source=searchresults</t>
  </si>
  <si>
    <t>Adams Bros. Construction</t>
  </si>
  <si>
    <t>inspection</t>
  </si>
  <si>
    <t>indeed.com drone technician April 06, 2026 Adams Bros. Construction Location Parry Sound (ON) Salary $32.00 to $40.00 hourly indeed.com Job number: 10091542001 drone technician - Save to favourites Your favourites To add a job posting to your favourites, you need a Job Bank account. Sign in or sign up now! Sign in Sign up for a Plus account</t>
  </si>
  <si>
    <t>https://www.jobbank.gc.ca/jobsearch/jobposting/49227585?source=searchresults</t>
  </si>
  <si>
    <t>Nilou Lashes</t>
  </si>
  <si>
    <t>Port Moody (BC)</t>
  </si>
  <si>
    <t>indeed.com drone technician April 06, 2026 Nilou Lashes Location Port Moody (BC) Salary $40.00 to $60.00 hourly indeed.com Job number: 10091809118 drone technician - Save to favourites Your favourites To add a job posting to your favourites, you need a Job Bank account. Sign in or sign up now! Sign in Sign up for a Plus account</t>
  </si>
  <si>
    <t>https://www.jobbank.gc.ca/jobsearch/jobposting/49228695?source=searchresults</t>
  </si>
  <si>
    <t>Guelph Manufacturing Group, Inc.</t>
  </si>
  <si>
    <t>Guelph (ON)</t>
  </si>
  <si>
    <t>drone inspection</t>
  </si>
  <si>
    <t>job-like URL; drone terms: drone; job terms: job, technician; source=jobbank; query_family=inspection; drone term in title/company; core term in title; core drone/uav signal</t>
  </si>
  <si>
    <t>indeed.com drone technician April 06, 2026 Guelph Manufacturing Group, Inc. Location Guelph (ON) Salary $19.00 to $22.00 hourly indeed.com Job number: 10091466015 drone technician - Save to favourites Your favourites To add a job posting to your favourites, you need a Job Bank account. Sign in or sign up now! Sign in Sign up for a Plus account</t>
  </si>
  <si>
    <t>https://www.jobbank.gc.ca/jobsearch/jobposting/49226917?source=searchresults</t>
  </si>
  <si>
    <t>Skin First</t>
  </si>
  <si>
    <t>Courtenay (BC)</t>
  </si>
  <si>
    <t>technical</t>
  </si>
  <si>
    <t>job-like URL; family terms: technician; drone terms: drone; job terms: job, technician; source=jobbank; query_family=technical; drone term in title/company; core term in title; core drone/uav signal</t>
  </si>
  <si>
    <t>indeed.com drone technician April 01, 2026 Skin First Location Courtenay (BC) Salary $22.50 hourly indeed.com Job number: 10087323546 drone technician - Save to favourites Your favourites To add a job posting to your favourites, you need a Job Bank account. Sign in or sign up now! Sign in Sign up for a Plus account</t>
  </si>
  <si>
    <t>https://www.jobbank.gc.ca/jobsearch/jobposting/49207332?source=searchresults</t>
  </si>
  <si>
    <t>Cave Spring Vineyard</t>
  </si>
  <si>
    <t>Jordan (ON)</t>
  </si>
  <si>
    <t>indeed.com drone technician April 02, 2026 Cave Spring Vineyard Location Jordan (ON) Salary $45,000.00 to $50,000.00 annually indeed.com Job number: 10088846114 drone technician - Save to favourites Your favourites To add a job posting to your favourites, you need a Job Bank account. Sign in or sign up now! Sign in Sign up for a Plus account</t>
  </si>
  <si>
    <t>https://www.jobbank.gc.ca/jobsearch/jobposting/49213371?source=searchresults</t>
  </si>
  <si>
    <t>Drone Pilot</t>
  </si>
  <si>
    <t>KTV Working Drone Ottawa</t>
  </si>
  <si>
    <t>Ottawa, ON, CA</t>
  </si>
  <si>
    <t>simplyhired</t>
  </si>
  <si>
    <t>operations</t>
  </si>
  <si>
    <t>drone pilot</t>
  </si>
  <si>
    <t>film</t>
  </si>
  <si>
    <t>contract</t>
  </si>
  <si>
    <t>job-like URL; family terms: flight, pilot; drone terms: drone; job terms: apply, job, pilot; source=simplyhired; query_family=operations; drone context phrase; drone term in title/company; core term in title; core drone/uav signal</t>
  </si>
  <si>
    <t>We are seeking drone pilots to join our team in Ottawa. This position will require you to work independently and collaboratively with other pilots. Training can be provided. This is a unique opportunity to participate in a very exciting start-up adventure where you will also have the opportunity to participate in the further development of KTV Working Drone. We are working on several projects and innovations. Key Responsibilities: Operate drones safely and efficiently completing each dayâ€™s tasks</t>
  </si>
  <si>
    <t>https://www.simplyhired.ca/job/dZD4TlGcZmS7vLGB9bHROQ3p7msUtCE7qCfkDQCt8Ia1GOlAIHH4Hw</t>
  </si>
  <si>
    <t>Siemens Gamesa</t>
  </si>
  <si>
    <t>Oakville, ON, CA</t>
  </si>
  <si>
    <t>media</t>
  </si>
  <si>
    <t>job-like URL; family terms: pilot; drone terms: drone; job terms: career, hiring, job, pilot, technician; source=simplyhired; query_family=operations; drone term in title/company; core term in title; core drone/uav signal</t>
  </si>
  <si>
    <t>A Snapshot of Your Day This position is accountable for repairing, installing, and inspecting electronics or electronic systems as directed through verbal or written directions, diagrams, drawings, or specifications. It also maintains and makes necessary operating adjustments to the organization's electronic systems. Planning, performing, and reporting on drivetrain (gearbox, main shaft, main bearing, generator bearings, etc.) inspections and repairs. This position is also accountable for troubl</t>
  </si>
  <si>
    <t>https://www.simplyhired.ca/job/XSOsAUGnFhkyuwDADhZSaJ29npGZVUI8UpEFBK2mwKtUDhTJUxSlqg</t>
  </si>
  <si>
    <t>PlaySpace Inspector/Drone Pilot</t>
  </si>
  <si>
    <t>Quantum Recreation</t>
  </si>
  <si>
    <t>Toronto, ON, CA</t>
  </si>
  <si>
    <t>part-time</t>
  </si>
  <si>
    <t>job-like URL; family terms: pilot; drone terms: drone; job terms: apply, hiring, inspector, job, pilot; source=simplyhired; query_family=operations; drone context phrase; drone term in title/company; core term in title; core drone/uav signal</t>
  </si>
  <si>
    <t>https://www.simplyhired.ca/job/8wi5YJHpTA-fxluocTPmAuYAaIJ8p6hmx4SGjQcEiLYjFbBJ1n1k9w</t>
  </si>
  <si>
    <t>UAV Operations Coordinator â€“ Drone &amp; Cell Tower Inspection</t>
  </si>
  <si>
    <t>PBX Technologies Inc.</t>
  </si>
  <si>
    <t>Mississauga, ON, CA</t>
  </si>
  <si>
    <t>job-like URL; family terms: flight, pilot, uav; drone terms: aerial, drone, lidar, uav; job terms: job, pilot; source=simplyhired; query_family=operations; drone context phrase; drone term in title/company; core term in title; core drone/uav signal</t>
  </si>
  <si>
    <t>We are seeking a highly skilled Operations Coordinator- UAV to support and oversee drone-based data capture operations for telecom infrastructure projects. This role combines field coordination, flight operations oversight, train new pilots, safety compliance, and data management to ensure the successful execution of cell tower inspections and reality capture projects. Key Responsibilities Coordinate daily drone operations for telecom site inspections across multiple locations Plan and manage si</t>
  </si>
  <si>
    <t>https://www.simplyhired.ca/job/dYKAjTrbL9CI_ZRLJVgdF8qQvVENKFFhrjXY4Gqo7_TMSb0zJzby2g</t>
  </si>
  <si>
    <t>Drone Pilots</t>
  </si>
  <si>
    <t>Shambhala Music Festival</t>
  </si>
  <si>
    <t>Salmo, BC, CA</t>
  </si>
  <si>
    <t>job-like URL; family terms: flight, pilot, rpas; drone terms: aerial, drone, rpas; job terms: job, pilot; source=simplyhired; query_family=operations; drone context phrase; drone term in title/company; core term in title; core drone/uav signal</t>
  </si>
  <si>
    <t>Ready to support festival operations from above? Join the Crew at Shambhala Music Festival as an Advanced Drone Pilot! Position Dates: Drone Pilot positions work during the festival week from Jul. 20-27, 2026, on the event site near Salmo, BC. The Advanced Drone Pilot plays a key role in providing aerial support for on-the-ground teams, management, and dispatch. Theyâ€™ll assist in situational awareness, crowd monitoring, emergency response coordination, and help us see what canâ€™t be seen from the</t>
  </si>
  <si>
    <t>https://www.simplyhired.ca/job/6iIxRVCGp-0umbjdvHzBU8X9PIId8XytMAP6ntgoj7ismaw_fDqANw</t>
  </si>
  <si>
    <t>Drone Show Ground Crew (Independent Contractor)</t>
  </si>
  <si>
    <t>AeroPrecision Drones</t>
  </si>
  <si>
    <t>job-like URL; family terms: pilot, rpas; drone terms: drone, rpas; job terms: job, pilot; source=simplyhired; query_family=operations; drone term in title/company; core term in title; core drone/uav signal</t>
  </si>
  <si>
    <t>About Us We support spectacular drone light shows across Canada and the U.S. and are looking for reliable, enthusiastic independent contractors to join our ground crew roster. Role Overview As a Ground Crew Contractor, you will assist with the set-up, operation, and tear-down of drone shows under the direction of the Pilot-in-Command. This is an on-call, casual opportunity where you can accept shows that fit your schedule through our contractor scheduling system. Responsibilities Assist with set</t>
  </si>
  <si>
    <t>https://www.simplyhired.ca/job/0D9mNqpc2DPT_SBCEDk6dcXwVaNJWOhK1QkOxIJMK0ZHrGVzLv7Vvw</t>
  </si>
  <si>
    <t>UAS Field Technician - Drone Operations</t>
  </si>
  <si>
    <t>Percepto</t>
  </si>
  <si>
    <t>Cold Lake, AB, CA</t>
  </si>
  <si>
    <t>job-like URL; family terms: flight, pilot, uas; drone terms: aerial, drone, uas; job terms: job, pilot, technician; source=simplyhired; query_family=operations; drone context phrase; drone term in title/company; core term in title; core drone/uav signal</t>
  </si>
  <si>
    <t>About The Position Percepto is the leading provider of autonomous inspection and monitoring solutions, harnessing robotics, including its very own market-leading industrial drone-in-a-box solution. Our team is made up of software and hardware engineers, industry experts, and professionals who are all passionate about innovation and driven to push the boundaries of whatâ€™s possible with software, AI, and hardware. We are a fast-growing company with offices in Israel, and the US, with Fortune 500 c</t>
  </si>
  <si>
    <t>https://www.simplyhired.ca/job/z9AnOt9JFMexNuubesgkEHQwZDYwKufH_EwLq1bZn6v38-FYoDwc_A</t>
  </si>
  <si>
    <t>UAV Modeling &amp; Simulation Engineer</t>
  </si>
  <si>
    <t>Shearwater Aerospace</t>
  </si>
  <si>
    <t>uav operator</t>
  </si>
  <si>
    <t>job-like URL; family terms: flight, operator, pilot, uav; drone terms: drone, uav; job terms: job, operator, pilot; source=simplyhired; query_family=operations; drone term in title/company; core term in title; core drone/uav signal</t>
  </si>
  <si>
    <t>https://www.simplyhired.ca/job/wYk_mHp6ZQbjH9djyBTohKtXAM5p0Vn34PHYd76fL_OMvjs-WJ8elA</t>
  </si>
  <si>
    <t>UAS Field Engineer</t>
  </si>
  <si>
    <t>Draganfly Innovations Inc.</t>
  </si>
  <si>
    <t>job-like URL; family terms: flight, operator, rpas, uas, uav; drone terms: aerial, drone, rpas, uas, uav; job terms: hiring, job, operator; source=simplyhired; query_family=operations; drone term in title/company; core term in title; core drone/uav signal</t>
  </si>
  <si>
    <t xml:space="preserve">About Draganfly: Draganfly Inc. (the â€œCompanyâ€) has been a recognized technology leader within the commercial UAV space for over two decades. We helped establish the commercial market &amp; adoption of multi-rotor helicopters for public safety, agriculture, aerial imaging, &amp; more. As a leader who helped shape the industry, Draganflyâ€™s focus is on the sale of drone products and services, contract engineering &amp; custom integration product development, and health monitoring products and services. About </t>
  </si>
  <si>
    <t>https://www.simplyhired.ca/job/6s0jDazB5U_T84nK1HArnYyVLSFwcCdKwh8GikRylj51mt4CFi5C5g</t>
  </si>
  <si>
    <t>Drone Ground Station Software Developer - AWS &amp; DO 178</t>
  </si>
  <si>
    <t>MANNARINO</t>
  </si>
  <si>
    <t>job-like URL; family terms: flight, operator, uav; drone terms: aerial, drone, geospatial, uav; job terms: apply, career, job, operator; source=simplyhired; query_family=operations; drone context phrase; drone term in title/company; core term in title; core drone/uav signal</t>
  </si>
  <si>
    <t>MANNARINO Systems &amp; Software Inc. is a leader in providing safety-critical systems, software, hardware and certification engineering services to the aerospace, defense, space, simulation &amp; power generation industries. Our customer base is very large, covering traditional aerospace companies as well as new and exciting markets, including electric propulsion, Urban Air Mobility, Unmanned Aerial Vehicle and autonomous flight. The MANNARINO culture is focused on high quality, hard work, professional</t>
  </si>
  <si>
    <t>https://www.simplyhired.ca/job/RfEgu6eDu7yLGhweSoGsZsXfViFdTxWpRPZUPx0dwuIJOPxq0qIGmg</t>
  </si>
  <si>
    <t>RPAS (Drone) Ground School Instructor</t>
  </si>
  <si>
    <t>Stinson Aerial Services Inc.</t>
  </si>
  <si>
    <t>Kamloops, BC, CA</t>
  </si>
  <si>
    <t>rpas pilot</t>
  </si>
  <si>
    <t>job-like URL; family terms: flight, pilot, rpas; drone terms: aerial, drone, rpas; job terms: apply, job, pilot; source=simplyhired; query_family=operations; drone context phrase; drone term in title/company; core term in title; core drone/uav signal</t>
  </si>
  <si>
    <t>https://www.simplyhired.ca/job/hW0AUC393UEuZuMnAUOGXpe8qZ6TOSszvBTpek3oW3wZO_QfedbE7Q</t>
  </si>
  <si>
    <t>MQ-9B RPAS Aircraft Maintenance Engineer (Evergreen)</t>
  </si>
  <si>
    <t>CAE Inc.</t>
  </si>
  <si>
    <t>Greenwood, NS, CA</t>
  </si>
  <si>
    <t>job-like URL; family terms: flight, pilot, rpas; drone terms: rpas; job terms: career, job, pilot, technician; source=simplyhired; query_family=operations; drone term in title/company; core term in title; core drone/uav signal</t>
  </si>
  <si>
    <t>https://www.simplyhired.ca/job/Ujt15zTqjqdUF9ST56R-kAUeADsveoig0eV9aEtV-wcrE_HmvsJVxA</t>
  </si>
  <si>
    <t>Drone Lead-Surveying</t>
  </si>
  <si>
    <t>CFM</t>
  </si>
  <si>
    <t>Saint John, NB, CA</t>
  </si>
  <si>
    <t>job-like URL; family terms: lidar, mapping, photogrammetry, survey; drone terms: drone, lidar, photogrammetry; job terms: apply, career, job, pilot, survey; source=simplyhired; query_family=mapping; drone context phrase; drone term in title/company; core term in title; core drone/uav signal</t>
  </si>
  <si>
    <t>As a Drone Specialist, you will be at the forefront of innovative surveying solutions, providing technical expertise and leadership while working on exciting projects. Join us to build your career and make a tangible impact in the surveying industry! Technical support â€“ Provide expert support for our drone fleet and software, ensuring all operations run smoothly and efficiently. Job estimation and planning â€“ Estimate job requirements, develop and maintain maintenance plans, and conduct flight pl</t>
  </si>
  <si>
    <t>https://www.simplyhired.ca/job/ER2hvUOhX3CMcBkR_kmUFOWnyhp9MAEOfILo5hvvCNpACa2ZStxQTQ</t>
  </si>
  <si>
    <t>Business Development (Drones)</t>
  </si>
  <si>
    <t>Hoskin Scientific</t>
  </si>
  <si>
    <t>lidar drone</t>
  </si>
  <si>
    <t>job-like URL; family terms: gis, lidar; drone terms: drone, lidar; job terms: apply, career, hiring, job, pilot; source=simplyhired; query_family=mapping; drone context phrase; drone term in title/company; core term in title; core drone/uav signal</t>
  </si>
  <si>
    <t xml:space="preserve">Technical sales representative, Montreal Measur is a supplier of fixed-wing drones, rotary drones, inspection drones, LIDAR, GNSS, GIS, total station, construction, and 3D scanning products across Canada. Reporting To: National Sales Operations Manager - Drones &amp; Geomatics Working Conditions: This position has the option to be Hybrid OR on a 4-day work week schedule This position will be in an Office/Lab environment Regular travel is required up to 50% of the time, this can fluctuate throughout </t>
  </si>
  <si>
    <t>https://www.simplyhired.ca/job/yA9PnEeEAOnAcRggF_yzgxWOB2jTn-cKYiC7nR8PAqsW-wLN02_KVA</t>
  </si>
  <si>
    <t>Drone Parachute Rigger</t>
  </si>
  <si>
    <t>AVSS - Aerial Vehicle Safety Solutions Inc.</t>
  </si>
  <si>
    <t>Carp, ON, CA</t>
  </si>
  <si>
    <t>job-like URL; family terms: inspection; drone terms: aerial, drone; job terms: apply, job; source=simplyhired; query_family=inspection; drone term in title/company; core term in title; core drone/uav signal</t>
  </si>
  <si>
    <t xml:space="preserve">AVSS is an aerospace company and is the world leader in guided and unguided parachute recovery systems for commercial drones. With rapid growth with commercial and military customers, AVSS is looking for a Drone Parachute Rigger with a primary focus on Production and supporting R&amp;D Testing. The company is looking for an individual who has more than 3 years of relevant experience in the production and assembly of technical products. We are looking for a candidate who has been a part of a company </t>
  </si>
  <si>
    <t>https://www.simplyhired.ca/job/T_vbhGu5Au34o0whFXgOqO5HC3R37K1JhMJmr-jQzTAXb2JzkuOL0A</t>
  </si>
  <si>
    <t>Research Officer, RF Drone and Countermeasure</t>
  </si>
  <si>
    <t>National Research Council Canada</t>
  </si>
  <si>
    <t>infrastructure drone</t>
  </si>
  <si>
    <t>job-like URL; drone terms: drone, uas; job terms: apply, career, hiring, job; source=simplyhired; query_family=inspection; drone term in title/company; core term in title; core drone/uav signal</t>
  </si>
  <si>
    <t>Priority will be given to the following designated employment equity groups: women, Indigenous Peoples* (First Nations, Inuit and MÃ©tis), persons with disabilities and racialized persons*. The Employment Equity Act , which is under review, uses the terminology Aboriginal peoples and visible minorities. Candidates are asked to self-declare when applying to this hiring process. City: Mirabel (temporarily MontrÃ©al) Organizational Unit: Aerospace Classification: RO Tenure: Term Duration: Until March</t>
  </si>
  <si>
    <t>https://www.simplyhired.ca/job/ynC9zjuSIsB9Jsmm9FP1rpYVkUojWsGc2aLQ1saqyR1GyEoWlVC9Iw</t>
  </si>
  <si>
    <t>Siemens Energy</t>
  </si>
  <si>
    <t>Oakville, Ontario, ca</t>
  </si>
  <si>
    <t>talent</t>
  </si>
  <si>
    <t>family terms: pilot; drone terms: drone; job terms: job, pilot, technician; source=talent; query_family=operations; drone context phrase; drone term in title/company; core term in title; core drone/uav signal</t>
  </si>
  <si>
    <t xml:space="preserve">Drone Pilot About the Role Location Canada Ontario Oakville Country: CANADA State/Province/County: Ontario City: Toronto Company Siemens Energy Canada Limited Organization Wind Power Business Unit Operations Full / Part time Full-time Experience Level Mid-level Professional A Snapshot of Your Day This position is accountable for repairing, installing, and inspecting electronics or electronic systems as directed through verbal or written directions, diagrams, drawings, or specifications. It also </t>
  </si>
  <si>
    <t>https://ca.talent.com/view?id=613065147801280304</t>
  </si>
  <si>
    <t>Montreal, Quebec, ca</t>
  </si>
  <si>
    <t>family terms: flight, operator, pilot, uav; drone terms: drone, uav; job terms: operator, pilot; source=talent; query_family=operations; drone term in title/company; core term in title; core drone/uav signal</t>
  </si>
  <si>
    <t>https://ca.talent.com/view?id=607351693525198715</t>
  </si>
  <si>
    <t>RPAS Platform Engineering Specialist</t>
  </si>
  <si>
    <t>MDA</t>
  </si>
  <si>
    <t>Richmond, British Columbia, ca</t>
  </si>
  <si>
    <t>family terms: pilot, rpas; drone terms: geospatial, rpas; job terms: apply, job, pilot; source=talent; query_family=operations; drone term in title/company; core term in title; core drone/uav signal</t>
  </si>
  <si>
    <t>Job Details Description About MDA: Building the space between proven and possible, MDA Space (TSX:MDA) is a trusted mission partner to the global space industry. A robotics, satellite systems and geointelligence pioneer with a 55-year+ story of world firsts and more than 450 missions, MDA Space is a global leader in communications satellites, Earth and space observation, and space exploration and infrastructure. The MDA Space team of more than 3,800 space experts in Canada, the US and the UK has</t>
  </si>
  <si>
    <t>https://ca.talent.com/view?id=587629894895601222</t>
  </si>
  <si>
    <t>Embedded Software Engineer â€“ Unmanned Systems (UAVs)</t>
  </si>
  <si>
    <t>NOETIQ EDGE</t>
  </si>
  <si>
    <t>Vancouver, British Columbia, ca</t>
  </si>
  <si>
    <t>uav mapping</t>
  </si>
  <si>
    <t>family terms: lidar; drone terms: drone, lidar, uav; job terms: job, pilot; source=talent; query_family=mapping; drone term in title/company; core term in title; core drone/uav signal</t>
  </si>
  <si>
    <t>Job Title: Embedded Software Engineer â€“ Unmanned Systems (UAVs) Company Overview: Noetiq Edge is a strategic consulting firm based in Canada that provides insights and talent expertise to firms across multiple industries including Finance, Supply Chain, Defence, Retail, Healthcare, and High-Tech. We establish trusted partnerships with organizations to ensure they have the strategy, information, technology, and talent required to succeed in a dynamic world. Job Description: Our client is currentl</t>
  </si>
  <si>
    <t>https://ca.talent.com/view?id=612172319540580003</t>
  </si>
  <si>
    <t>Remote Piloted Aircraft System (RPAS) Business Analyst and Test Lead</t>
  </si>
  <si>
    <t>NAV CANADA</t>
  </si>
  <si>
    <t>Ottawa, Ontario, ca</t>
  </si>
  <si>
    <t>family terms: pilot, rpas; drone terms: rpas; job terms: apply, hiring, job, pilot; source=talent; query_family=operations; drone term in title/company; core term in title; core drone/uav signal</t>
  </si>
  <si>
    <t>Description What NAV CANADA offers you: Challenging, team-oriented work environment Competitive compensation and benefits Defined benefit pension plan Opportunities for growth and development Flexible work arrangements Diverse and inclusive workforce Key Accountabilities: Leads and contributes to planning activities, delivering clear estimates and timelines. Provides functional leadership and strategic recommendations to support the development and implementation of NAV CANADA policies, technica</t>
  </si>
  <si>
    <t>https://ca.talent.com/view?id=617190724796226515</t>
  </si>
  <si>
    <t>_URLS</t>
  </si>
  <si>
    <t>valid</t>
  </si>
  <si>
    <t>drone related</t>
  </si>
  <si>
    <t>is drone related</t>
  </si>
  <si>
    <t>Keep</t>
  </si>
  <si>
    <t>today</t>
  </si>
  <si>
    <t>Montreal, QC, CA</t>
  </si>
  <si>
    <t>expired</t>
  </si>
  <si>
    <t>Archive</t>
  </si>
  <si>
    <t>About this position:  All for being ready &amp; resilient. Training Centre Operations at CAE lies at the heart of our commitment to training excellence across Civil Aviation and Defense &amp; Security. As part of this team, youâ€™ll develop and provide training, continually enhance program quality, and ensure seamless operations and service excellence, empowering pilots, aircrew, and mission-critical teams to excel when it matters most. Behind the scenes, you play a vital role in equipping them with the sk</t>
  </si>
  <si>
    <t>Awesome</t>
  </si>
  <si>
    <t>RPAS (Drone) Ground School Instructor “ Contract, Part-Time Â· Location: Kamloops, BC (other BC locations considered) Â· Company: Stinson Aerial Services Inc. / AIRSâ„¢ Flight Academy Â· Employment Type: Contract-based Â· Start Date: Flexible (following completion of mentorship and shadowing) Â· Application Deadline: Open until Filled About Us Stinson Aerial Services Inc. (SAS), through its AIRSâ„¢ Flight Academy division, is a leader in professional drone training and certification. We specialize in tra</t>
  </si>
  <si>
    <t xml:space="preserve">drone technical </t>
  </si>
  <si>
    <t>excluded</t>
  </si>
  <si>
    <t>We're Building Autonomous Flight Intelligence Drones that think for themselves. Not pre-programmed routes-true autonomy where aircraft make intelligent decisions onboard, adapting to weather, obstacles, and airspace in real-time without human intervention. We're building weather-aware flight optimization that delivers outcome-driven autonomy for the real world-increasing mission success by extending range, endurance, safety, and reliability. You'll build the simulation engine that makes this pos</t>
  </si>
  <si>
    <t>Job Title: PlaySpace Inspector/Drone Pilot (Part-Time, Expanding to Full-Time in Summer) Location: Toronto Job Type: Part-Time 5-10 hours/week (March-April) | Full-Time (May -End of August) Start Date: March 2026 Are you a university student looking for a unique outdoor job? Do you enjoy exploring different areas of Ontario, or even Canada? Weâ€™re hiring Playground Inspectors to join our team! No experience is required-just a willingness to travel, work outdoors, and learn. What You'll Do: Travel</t>
  </si>
  <si>
    <t>Valid ?</t>
  </si>
  <si>
    <t>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</si>
</sst>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7" fillId="33" borderId="0"/>
  </cellStyleXfs>
  <cellXfs count="6">
    <xf numFmtId="0" fontId="0" fillId="0" borderId="0" xfId="0"/>
    <xf numFmtId="0" fontId="18" fillId="0" borderId="0" xfId="42"/>
    <xf numFmtId="0" fontId="17" fillId="25" borderId="0" xfId="34"/>
    <xf numFmtId="10" fontId="0" fillId="0" borderId="0" xfId="0" applyNumberFormat="1"/>
    <xf numFmtId="0" fontId="0" fillId="0" borderId="0" xfId="0" applyAlignment="1">
      <alignment horizontal="center"/>
    </xf>
    <xf numFmtId="0" fontId="17" fillId="13" borderId="0" xfId="22"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Style 1" xfId="43" xr:uid="{424B311B-31DD-4CA4-BD8C-596F5632953F}"/>
    <cellStyle name="Title" xfId="1" builtinId="15" customBuiltin="1"/>
    <cellStyle name="Total" xfId="17" builtinId="25" customBuiltin="1"/>
    <cellStyle name="Warning Text" xfId="14" builtinId="11" customBuiltin="1"/>
  </cellStyles>
  <dxfs count="4">
    <dxf>
      <alignment horizontal="center" vertical="bottom" textRotation="0" wrapText="0" indent="0" justifyLastLine="0" shrinkToFit="0" readingOrder="0"/>
    </dxf>
    <dxf>
      <font>
        <color rgb="FF9C0006"/>
      </font>
      <fill>
        <patternFill>
          <bgColor rgb="FFFFC7CE"/>
        </patternFill>
      </fill>
    </dxf>
    <dxf>
      <fill>
        <patternFill patternType="none">
          <fgColor indexed="64"/>
          <bgColor indexed="65"/>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D2C6BE-58F6-4557-B3F0-F00EFAE4D3F2}" name="Table1" displayName="Table1" ref="A6:S55" totalsRowShown="0">
  <autoFilter ref="A6:S55" xr:uid="{38D2C6BE-58F6-4557-B3F0-F00EFAE4D3F2}">
    <filterColumn colId="13">
      <filters>
        <filter val="valid"/>
      </filters>
    </filterColumn>
  </autoFilter>
  <sortState xmlns:xlrd2="http://schemas.microsoft.com/office/spreadsheetml/2017/richdata2" ref="A35:S55">
    <sortCondition ref="D6:D55"/>
  </sortState>
  <tableColumns count="19">
    <tableColumn id="1" xr3:uid="{220F7247-5498-45DB-8548-EE2D0A582988}" name="title"/>
    <tableColumn id="2" xr3:uid="{9B79419F-B476-4FBB-B2D9-E02455EA8101}" name="company"/>
    <tableColumn id="3" xr3:uid="{FF273152-B5C2-461E-8E71-BF5A73B19A78}" name="location"/>
    <tableColumn id="4" xr3:uid="{7A326BCE-56ED-4B69-9360-5B944FC96D75}" name="source"/>
    <tableColumn id="5" xr3:uid="{26297A15-E4F9-44ED-B33E-AE27540C0903}" name="query_family"/>
    <tableColumn id="6" xr3:uid="{E227C920-264C-423E-AA1A-39C445A40674}" name="matched_query"/>
    <tableColumn id="7" xr3:uid="{BBAFE810-288C-49CE-8168-F554E9972283}" name="category"/>
    <tableColumn id="8" xr3:uid="{4C4538A0-CFA7-4281-88FD-3B5D470D1D35}" name="type"/>
    <tableColumn id="9" xr3:uid="{6ACB76D7-9D29-4E98-A4DB-83FC8C6DD1D4}" name="confidence" dataDxfId="0"/>
    <tableColumn id="10" xr3:uid="{3703FC84-8208-4D4C-8FFE-43054B3A83EA}" name="match_reason"/>
    <tableColumn id="11" xr3:uid="{6B95804E-806D-4D52-A1BB-3DFD8C6010B6}" name="summary"/>
    <tableColumn id="12" xr3:uid="{9586ACDF-BE3F-4A79-A928-E67717700978}" name="link"/>
    <tableColumn id="13" xr3:uid="{66BF673D-5C92-4759-8701-84DA35DF0829}" name="qualification"/>
    <tableColumn id="14" xr3:uid="{4CF0A911-EEE3-4606-9E3B-E07420061B23}" name="interest_level"/>
    <tableColumn id="15" xr3:uid="{E3839E7C-F4A9-4880-9F20-7A260ECD42EB}" name="review_rank"/>
    <tableColumn id="16" xr3:uid="{538161D4-162D-481C-970C-F3E8E11B4AFC}" name="review_comments"/>
    <tableColumn id="17" xr3:uid="{402589D5-FCA3-4AC7-880F-837664F55983}" name="next_action"/>
    <tableColumn id="18" xr3:uid="{EBBE77F4-EDB7-48B0-B773-786AD88B05CC}" name="last_reviewed"/>
    <tableColumn id="19" xr3:uid="{715E4835-7DF2-4D5A-B271-B266AD180E25}" name="_URLS" dataDxfId="3">
      <calculatedColumnFormula>HYPERLINK(Table1[[#This Row],[link]])</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E408-4DC5-40CD-8853-B057D6E625D4}">
  <dimension ref="A1:S55"/>
  <sheetViews>
    <sheetView tabSelected="1" workbookViewId="0">
      <selection activeCell="B39" sqref="B39"/>
    </sheetView>
  </sheetViews>
  <sheetFormatPr defaultRowHeight="15" x14ac:dyDescent="0.25"/>
  <cols>
    <col min="1" max="1" width="63.42578125" bestFit="1" customWidth="1"/>
    <col min="2" max="2" width="31.7109375" customWidth="1"/>
    <col min="3" max="3" width="20.42578125" customWidth="1"/>
    <col min="4" max="4" width="11.42578125" bestFit="1" customWidth="1"/>
    <col min="5" max="5" width="14.7109375" customWidth="1"/>
    <col min="6" max="6" width="21.5703125" bestFit="1" customWidth="1"/>
    <col min="7" max="7" width="10.85546875" customWidth="1"/>
    <col min="9" max="9" width="13.42578125" style="4" bestFit="1" customWidth="1"/>
    <col min="10" max="10" width="15.7109375" customWidth="1"/>
    <col min="11" max="11" width="20.85546875" customWidth="1"/>
    <col min="13" max="13" width="14.42578125" customWidth="1"/>
    <col min="14" max="14" width="15.5703125" customWidth="1"/>
    <col min="15" max="15" width="13.85546875" customWidth="1"/>
    <col min="16" max="16" width="19.5703125" customWidth="1"/>
    <col min="17" max="17" width="13.5703125" customWidth="1"/>
    <col min="18" max="18" width="15.5703125" customWidth="1"/>
    <col min="19" max="19" width="93.5703125" bestFit="1" customWidth="1"/>
  </cols>
  <sheetData>
    <row r="1" spans="1:19" x14ac:dyDescent="0.25">
      <c r="A1" t="s">
        <v>275</v>
      </c>
      <c r="B1" t="s">
        <v>276</v>
      </c>
    </row>
    <row r="2" spans="1:19" x14ac:dyDescent="0.25">
      <c r="A2" s="3">
        <v>9.4999999999999998E-3</v>
      </c>
      <c r="B2" t="s">
        <v>8</v>
      </c>
    </row>
    <row r="4" spans="1:19" x14ac:dyDescent="0.25">
      <c r="A4">
        <f>SUBTOTAL(3,Table1[[#All],[category]])-1</f>
        <v>21</v>
      </c>
      <c r="I4" s="4" t="s">
        <v>280</v>
      </c>
      <c r="N4" t="s">
        <v>279</v>
      </c>
    </row>
    <row r="6" spans="1:19" ht="30" customHeight="1" x14ac:dyDescent="0.25">
      <c r="A6" t="s">
        <v>0</v>
      </c>
      <c r="B6" t="s">
        <v>1</v>
      </c>
      <c r="C6" t="s">
        <v>2</v>
      </c>
      <c r="D6" t="s">
        <v>3</v>
      </c>
      <c r="E6" t="s">
        <v>4</v>
      </c>
      <c r="F6" t="s">
        <v>5</v>
      </c>
      <c r="G6" t="s">
        <v>6</v>
      </c>
      <c r="H6" t="s">
        <v>7</v>
      </c>
      <c r="I6" s="5" t="s">
        <v>8</v>
      </c>
      <c r="J6" t="s">
        <v>9</v>
      </c>
      <c r="K6" t="s">
        <v>10</v>
      </c>
      <c r="L6" t="s">
        <v>11</v>
      </c>
      <c r="M6" t="s">
        <v>12</v>
      </c>
      <c r="N6" s="5" t="s">
        <v>13</v>
      </c>
      <c r="O6" t="s">
        <v>14</v>
      </c>
      <c r="P6" t="s">
        <v>15</v>
      </c>
      <c r="Q6" t="s">
        <v>16</v>
      </c>
      <c r="R6" t="s">
        <v>17</v>
      </c>
      <c r="S6" t="s">
        <v>263</v>
      </c>
    </row>
    <row r="7" spans="1:19" hidden="1" x14ac:dyDescent="0.25">
      <c r="A7" t="s">
        <v>18</v>
      </c>
      <c r="B7" t="s">
        <v>19</v>
      </c>
      <c r="C7" t="s">
        <v>20</v>
      </c>
      <c r="D7" t="s">
        <v>21</v>
      </c>
      <c r="E7" t="s">
        <v>22</v>
      </c>
      <c r="F7" t="s">
        <v>23</v>
      </c>
      <c r="G7" t="s">
        <v>24</v>
      </c>
      <c r="H7" t="s">
        <v>25</v>
      </c>
      <c r="I7" s="4">
        <v>0.95</v>
      </c>
      <c r="J7" t="s">
        <v>26</v>
      </c>
      <c r="K7" t="s">
        <v>27</v>
      </c>
      <c r="L7" t="s">
        <v>28</v>
      </c>
      <c r="M7" t="s">
        <v>29</v>
      </c>
      <c r="N7" t="s">
        <v>25</v>
      </c>
      <c r="S7" s="1" t="str">
        <f>HYPERLINK(Table1[[#This Row],[link]])</f>
        <v>https://www.jobbank.gc.ca/jobsearch/jobposting/49383126?source=searchresults</v>
      </c>
    </row>
    <row r="8" spans="1:19" hidden="1" x14ac:dyDescent="0.25">
      <c r="A8" t="s">
        <v>18</v>
      </c>
      <c r="B8" t="s">
        <v>30</v>
      </c>
      <c r="C8" t="s">
        <v>31</v>
      </c>
      <c r="D8" t="s">
        <v>21</v>
      </c>
      <c r="E8" t="s">
        <v>22</v>
      </c>
      <c r="F8" t="s">
        <v>23</v>
      </c>
      <c r="G8" t="s">
        <v>24</v>
      </c>
      <c r="H8" t="s">
        <v>25</v>
      </c>
      <c r="I8" s="4">
        <v>0.95</v>
      </c>
      <c r="J8" t="s">
        <v>26</v>
      </c>
      <c r="K8" t="s">
        <v>32</v>
      </c>
      <c r="L8" t="s">
        <v>33</v>
      </c>
      <c r="M8" t="s">
        <v>29</v>
      </c>
      <c r="N8" t="s">
        <v>25</v>
      </c>
      <c r="S8" s="1" t="str">
        <f>HYPERLINK(Table1[[#This Row],[link]])</f>
        <v>https://www.jobbank.gc.ca/jobsearch/jobposting/49428014?source=searchresults</v>
      </c>
    </row>
    <row r="9" spans="1:19" hidden="1" x14ac:dyDescent="0.25">
      <c r="A9" t="s">
        <v>18</v>
      </c>
      <c r="B9" t="s">
        <v>34</v>
      </c>
      <c r="C9" t="s">
        <v>35</v>
      </c>
      <c r="D9" t="s">
        <v>21</v>
      </c>
      <c r="E9" t="s">
        <v>22</v>
      </c>
      <c r="F9" t="s">
        <v>23</v>
      </c>
      <c r="G9" t="s">
        <v>24</v>
      </c>
      <c r="H9" t="s">
        <v>25</v>
      </c>
      <c r="I9" s="4">
        <v>0.95</v>
      </c>
      <c r="J9" t="s">
        <v>26</v>
      </c>
      <c r="K9" t="s">
        <v>36</v>
      </c>
      <c r="L9" t="s">
        <v>37</v>
      </c>
      <c r="M9" t="s">
        <v>29</v>
      </c>
      <c r="N9" t="s">
        <v>25</v>
      </c>
      <c r="S9" s="1" t="str">
        <f>HYPERLINK(Table1[[#This Row],[link]])</f>
        <v>https://www.jobbank.gc.ca/jobsearch/jobposting/49421037?source=searchresults</v>
      </c>
    </row>
    <row r="10" spans="1:19" hidden="1" x14ac:dyDescent="0.25">
      <c r="A10" t="s">
        <v>18</v>
      </c>
      <c r="B10" t="s">
        <v>38</v>
      </c>
      <c r="C10" t="s">
        <v>39</v>
      </c>
      <c r="D10" t="s">
        <v>21</v>
      </c>
      <c r="E10" t="s">
        <v>22</v>
      </c>
      <c r="F10" t="s">
        <v>23</v>
      </c>
      <c r="G10" t="s">
        <v>24</v>
      </c>
      <c r="H10" t="s">
        <v>25</v>
      </c>
      <c r="I10" s="4">
        <v>0.95</v>
      </c>
      <c r="J10" t="s">
        <v>26</v>
      </c>
      <c r="K10" t="s">
        <v>40</v>
      </c>
      <c r="L10" t="s">
        <v>41</v>
      </c>
      <c r="M10" t="s">
        <v>29</v>
      </c>
      <c r="N10" t="s">
        <v>25</v>
      </c>
      <c r="S10" s="1" t="str">
        <f>HYPERLINK(Table1[[#This Row],[link]])</f>
        <v>https://www.jobbank.gc.ca/jobsearch/jobposting/49401824?source=searchresults</v>
      </c>
    </row>
    <row r="11" spans="1:19" hidden="1" x14ac:dyDescent="0.25">
      <c r="A11" t="s">
        <v>18</v>
      </c>
      <c r="B11" t="s">
        <v>42</v>
      </c>
      <c r="C11" t="s">
        <v>43</v>
      </c>
      <c r="D11" t="s">
        <v>21</v>
      </c>
      <c r="E11" t="s">
        <v>22</v>
      </c>
      <c r="F11" t="s">
        <v>23</v>
      </c>
      <c r="G11" t="s">
        <v>24</v>
      </c>
      <c r="H11" t="s">
        <v>25</v>
      </c>
      <c r="I11" s="4">
        <v>0.95</v>
      </c>
      <c r="J11" t="s">
        <v>26</v>
      </c>
      <c r="K11" t="s">
        <v>44</v>
      </c>
      <c r="L11" t="s">
        <v>45</v>
      </c>
      <c r="M11" t="s">
        <v>29</v>
      </c>
      <c r="N11" t="s">
        <v>25</v>
      </c>
      <c r="S11" s="1" t="str">
        <f>HYPERLINK(Table1[[#This Row],[link]])</f>
        <v>https://www.jobbank.gc.ca/jobsearch/jobposting/49427932?source=searchresults</v>
      </c>
    </row>
    <row r="12" spans="1:19" hidden="1" x14ac:dyDescent="0.25">
      <c r="A12" t="s">
        <v>18</v>
      </c>
      <c r="B12" t="s">
        <v>46</v>
      </c>
      <c r="C12" t="s">
        <v>47</v>
      </c>
      <c r="D12" t="s">
        <v>21</v>
      </c>
      <c r="E12" t="s">
        <v>22</v>
      </c>
      <c r="F12" t="s">
        <v>23</v>
      </c>
      <c r="G12" t="s">
        <v>24</v>
      </c>
      <c r="H12" t="s">
        <v>25</v>
      </c>
      <c r="I12" s="4">
        <v>0.95</v>
      </c>
      <c r="J12" t="s">
        <v>26</v>
      </c>
      <c r="K12" t="s">
        <v>48</v>
      </c>
      <c r="L12" t="s">
        <v>49</v>
      </c>
      <c r="M12" t="s">
        <v>29</v>
      </c>
      <c r="N12" t="s">
        <v>25</v>
      </c>
      <c r="S12" s="1" t="str">
        <f>HYPERLINK(Table1[[#This Row],[link]])</f>
        <v>https://www.jobbank.gc.ca/jobsearch/jobposting/49402155?source=searchresults</v>
      </c>
    </row>
    <row r="13" spans="1:19" hidden="1" x14ac:dyDescent="0.25">
      <c r="A13" t="s">
        <v>18</v>
      </c>
      <c r="B13" t="s">
        <v>50</v>
      </c>
      <c r="C13" t="s">
        <v>43</v>
      </c>
      <c r="D13" t="s">
        <v>21</v>
      </c>
      <c r="E13" t="s">
        <v>22</v>
      </c>
      <c r="F13" t="s">
        <v>23</v>
      </c>
      <c r="G13" t="s">
        <v>24</v>
      </c>
      <c r="H13" t="s">
        <v>25</v>
      </c>
      <c r="I13" s="4">
        <v>0.95</v>
      </c>
      <c r="J13" t="s">
        <v>26</v>
      </c>
      <c r="K13" t="s">
        <v>51</v>
      </c>
      <c r="L13" t="s">
        <v>52</v>
      </c>
      <c r="M13" t="s">
        <v>29</v>
      </c>
      <c r="N13" t="s">
        <v>25</v>
      </c>
      <c r="S13" s="1" t="str">
        <f>HYPERLINK(Table1[[#This Row],[link]])</f>
        <v>https://www.jobbank.gc.ca/jobsearch/jobposting/49395396?source=searchresults</v>
      </c>
    </row>
    <row r="14" spans="1:19" hidden="1" x14ac:dyDescent="0.25">
      <c r="A14" t="s">
        <v>18</v>
      </c>
      <c r="B14" t="s">
        <v>53</v>
      </c>
      <c r="C14" t="s">
        <v>54</v>
      </c>
      <c r="D14" t="s">
        <v>21</v>
      </c>
      <c r="E14" t="s">
        <v>22</v>
      </c>
      <c r="F14" t="s">
        <v>23</v>
      </c>
      <c r="G14" t="s">
        <v>24</v>
      </c>
      <c r="H14" t="s">
        <v>25</v>
      </c>
      <c r="I14" s="4">
        <v>0.95</v>
      </c>
      <c r="J14" t="s">
        <v>26</v>
      </c>
      <c r="K14" t="s">
        <v>55</v>
      </c>
      <c r="L14" t="s">
        <v>56</v>
      </c>
      <c r="M14" t="s">
        <v>29</v>
      </c>
      <c r="N14" t="s">
        <v>25</v>
      </c>
      <c r="S14" s="1" t="str">
        <f>HYPERLINK(Table1[[#This Row],[link]])</f>
        <v>https://www.jobbank.gc.ca/jobsearch/jobposting/49385273?source=searchresults</v>
      </c>
    </row>
    <row r="15" spans="1:19" hidden="1" x14ac:dyDescent="0.25">
      <c r="A15" t="s">
        <v>18</v>
      </c>
      <c r="B15" t="s">
        <v>57</v>
      </c>
      <c r="C15" t="s">
        <v>58</v>
      </c>
      <c r="D15" t="s">
        <v>21</v>
      </c>
      <c r="E15" t="s">
        <v>22</v>
      </c>
      <c r="F15" t="s">
        <v>23</v>
      </c>
      <c r="G15" t="s">
        <v>24</v>
      </c>
      <c r="H15" t="s">
        <v>25</v>
      </c>
      <c r="I15" s="4">
        <v>0.95</v>
      </c>
      <c r="J15" t="s">
        <v>26</v>
      </c>
      <c r="K15" t="s">
        <v>59</v>
      </c>
      <c r="L15" t="s">
        <v>60</v>
      </c>
      <c r="M15" t="s">
        <v>29</v>
      </c>
      <c r="N15" t="s">
        <v>25</v>
      </c>
      <c r="S15" s="1" t="str">
        <f>HYPERLINK(Table1[[#This Row],[link]])</f>
        <v>https://www.jobbank.gc.ca/jobsearch/jobposting/49406381?source=searchresults</v>
      </c>
    </row>
    <row r="16" spans="1:19" hidden="1" x14ac:dyDescent="0.25">
      <c r="A16" t="s">
        <v>18</v>
      </c>
      <c r="B16" t="s">
        <v>61</v>
      </c>
      <c r="C16" t="s">
        <v>62</v>
      </c>
      <c r="D16" t="s">
        <v>21</v>
      </c>
      <c r="E16" t="s">
        <v>22</v>
      </c>
      <c r="F16" t="s">
        <v>23</v>
      </c>
      <c r="G16" t="s">
        <v>24</v>
      </c>
      <c r="H16" t="s">
        <v>25</v>
      </c>
      <c r="I16" s="4">
        <v>0.95</v>
      </c>
      <c r="J16" t="s">
        <v>26</v>
      </c>
      <c r="K16" t="s">
        <v>63</v>
      </c>
      <c r="L16" t="s">
        <v>64</v>
      </c>
      <c r="M16" t="s">
        <v>29</v>
      </c>
      <c r="N16" t="s">
        <v>25</v>
      </c>
      <c r="S16" s="1" t="str">
        <f>HYPERLINK(Table1[[#This Row],[link]])</f>
        <v>https://www.jobbank.gc.ca/jobsearch/jobposting/49381244?source=searchresults</v>
      </c>
    </row>
    <row r="17" spans="1:19" hidden="1" x14ac:dyDescent="0.25">
      <c r="A17" t="s">
        <v>18</v>
      </c>
      <c r="B17" t="s">
        <v>65</v>
      </c>
      <c r="C17" t="s">
        <v>66</v>
      </c>
      <c r="D17" t="s">
        <v>21</v>
      </c>
      <c r="E17" t="s">
        <v>22</v>
      </c>
      <c r="F17" t="s">
        <v>23</v>
      </c>
      <c r="G17" t="s">
        <v>24</v>
      </c>
      <c r="H17" t="s">
        <v>25</v>
      </c>
      <c r="I17" s="4">
        <v>0.95</v>
      </c>
      <c r="J17" t="s">
        <v>26</v>
      </c>
      <c r="K17" t="s">
        <v>67</v>
      </c>
      <c r="L17" t="s">
        <v>68</v>
      </c>
      <c r="M17" t="s">
        <v>29</v>
      </c>
      <c r="N17" t="s">
        <v>25</v>
      </c>
      <c r="S17" s="1" t="str">
        <f>HYPERLINK(Table1[[#This Row],[link]])</f>
        <v>https://www.jobbank.gc.ca/jobsearch/jobposting/49379238?source=searchresults</v>
      </c>
    </row>
    <row r="18" spans="1:19" hidden="1" x14ac:dyDescent="0.25">
      <c r="A18" t="s">
        <v>18</v>
      </c>
      <c r="B18" t="s">
        <v>69</v>
      </c>
      <c r="C18" t="s">
        <v>70</v>
      </c>
      <c r="D18" t="s">
        <v>21</v>
      </c>
      <c r="E18" t="s">
        <v>22</v>
      </c>
      <c r="F18" t="s">
        <v>23</v>
      </c>
      <c r="G18" t="s">
        <v>24</v>
      </c>
      <c r="H18" t="s">
        <v>25</v>
      </c>
      <c r="I18" s="4">
        <v>0.95</v>
      </c>
      <c r="J18" t="s">
        <v>26</v>
      </c>
      <c r="K18" t="s">
        <v>71</v>
      </c>
      <c r="L18" t="s">
        <v>72</v>
      </c>
      <c r="M18" t="s">
        <v>29</v>
      </c>
      <c r="N18" t="s">
        <v>25</v>
      </c>
      <c r="S18" s="1" t="str">
        <f>HYPERLINK(Table1[[#This Row],[link]])</f>
        <v>https://www.jobbank.gc.ca/jobsearch/jobposting/49359613?source=searchresults</v>
      </c>
    </row>
    <row r="19" spans="1:19" hidden="1" x14ac:dyDescent="0.25">
      <c r="A19" t="s">
        <v>18</v>
      </c>
      <c r="B19" t="s">
        <v>73</v>
      </c>
      <c r="C19" t="s">
        <v>74</v>
      </c>
      <c r="D19" t="s">
        <v>21</v>
      </c>
      <c r="E19" t="s">
        <v>22</v>
      </c>
      <c r="F19" t="s">
        <v>23</v>
      </c>
      <c r="G19" t="s">
        <v>24</v>
      </c>
      <c r="H19" t="s">
        <v>25</v>
      </c>
      <c r="I19" s="4">
        <v>0.95</v>
      </c>
      <c r="J19" t="s">
        <v>26</v>
      </c>
      <c r="K19" t="s">
        <v>75</v>
      </c>
      <c r="L19" t="s">
        <v>76</v>
      </c>
      <c r="M19" t="s">
        <v>29</v>
      </c>
      <c r="N19" t="s">
        <v>25</v>
      </c>
      <c r="S19" s="1" t="str">
        <f>HYPERLINK(Table1[[#This Row],[link]])</f>
        <v>https://www.jobbank.gc.ca/jobsearch/jobposting/49343592?source=searchresults</v>
      </c>
    </row>
    <row r="20" spans="1:19" hidden="1" x14ac:dyDescent="0.25">
      <c r="A20" t="s">
        <v>18</v>
      </c>
      <c r="B20" t="s">
        <v>77</v>
      </c>
      <c r="C20" t="s">
        <v>58</v>
      </c>
      <c r="D20" t="s">
        <v>21</v>
      </c>
      <c r="E20" t="s">
        <v>22</v>
      </c>
      <c r="F20" t="s">
        <v>23</v>
      </c>
      <c r="G20" t="s">
        <v>24</v>
      </c>
      <c r="H20" t="s">
        <v>25</v>
      </c>
      <c r="I20" s="4">
        <v>0.95</v>
      </c>
      <c r="J20" t="s">
        <v>26</v>
      </c>
      <c r="K20" t="s">
        <v>78</v>
      </c>
      <c r="L20" t="s">
        <v>79</v>
      </c>
      <c r="M20" t="s">
        <v>29</v>
      </c>
      <c r="N20" t="s">
        <v>25</v>
      </c>
      <c r="S20" s="1" t="str">
        <f>HYPERLINK(Table1[[#This Row],[link]])</f>
        <v>https://www.jobbank.gc.ca/jobsearch/jobposting/49353302?source=searchresults</v>
      </c>
    </row>
    <row r="21" spans="1:19" hidden="1" x14ac:dyDescent="0.25">
      <c r="A21" t="s">
        <v>18</v>
      </c>
      <c r="B21" t="s">
        <v>80</v>
      </c>
      <c r="C21" t="s">
        <v>81</v>
      </c>
      <c r="D21" t="s">
        <v>21</v>
      </c>
      <c r="E21" t="s">
        <v>22</v>
      </c>
      <c r="F21" t="s">
        <v>23</v>
      </c>
      <c r="G21" t="s">
        <v>24</v>
      </c>
      <c r="H21" t="s">
        <v>25</v>
      </c>
      <c r="I21" s="4">
        <v>0.95</v>
      </c>
      <c r="J21" t="s">
        <v>26</v>
      </c>
      <c r="K21" t="s">
        <v>82</v>
      </c>
      <c r="L21" t="s">
        <v>83</v>
      </c>
      <c r="M21" t="s">
        <v>29</v>
      </c>
      <c r="N21" t="s">
        <v>25</v>
      </c>
      <c r="S21" s="1" t="str">
        <f>HYPERLINK(Table1[[#This Row],[link]])</f>
        <v>https://www.jobbank.gc.ca/jobsearch/jobposting/49350510?source=searchresults</v>
      </c>
    </row>
    <row r="22" spans="1:19" hidden="1" x14ac:dyDescent="0.25">
      <c r="A22" t="s">
        <v>18</v>
      </c>
      <c r="B22" t="s">
        <v>84</v>
      </c>
      <c r="C22" t="s">
        <v>85</v>
      </c>
      <c r="D22" t="s">
        <v>21</v>
      </c>
      <c r="E22" t="s">
        <v>22</v>
      </c>
      <c r="F22" t="s">
        <v>23</v>
      </c>
      <c r="G22" t="s">
        <v>24</v>
      </c>
      <c r="H22" t="s">
        <v>25</v>
      </c>
      <c r="I22" s="4">
        <v>0.95</v>
      </c>
      <c r="J22" t="s">
        <v>26</v>
      </c>
      <c r="K22" t="s">
        <v>86</v>
      </c>
      <c r="L22" t="s">
        <v>87</v>
      </c>
      <c r="M22" t="s">
        <v>29</v>
      </c>
      <c r="N22" t="s">
        <v>25</v>
      </c>
      <c r="S22" s="1" t="str">
        <f>HYPERLINK(Table1[[#This Row],[link]])</f>
        <v>https://www.jobbank.gc.ca/jobsearch/jobposting/49304224?source=searchresults</v>
      </c>
    </row>
    <row r="23" spans="1:19" hidden="1" x14ac:dyDescent="0.25">
      <c r="A23" t="s">
        <v>18</v>
      </c>
      <c r="B23" t="s">
        <v>88</v>
      </c>
      <c r="C23" t="s">
        <v>89</v>
      </c>
      <c r="D23" t="s">
        <v>21</v>
      </c>
      <c r="E23" t="s">
        <v>22</v>
      </c>
      <c r="F23" t="s">
        <v>90</v>
      </c>
      <c r="G23" t="s">
        <v>24</v>
      </c>
      <c r="H23" t="s">
        <v>25</v>
      </c>
      <c r="I23" s="4">
        <v>0.95</v>
      </c>
      <c r="J23" t="s">
        <v>26</v>
      </c>
      <c r="K23" t="s">
        <v>91</v>
      </c>
      <c r="L23" t="s">
        <v>92</v>
      </c>
      <c r="M23" t="s">
        <v>29</v>
      </c>
      <c r="N23" t="s">
        <v>25</v>
      </c>
      <c r="S23" s="1" t="str">
        <f>HYPERLINK(Table1[[#This Row],[link]])</f>
        <v>https://www.jobbank.gc.ca/jobsearch/jobposting/49302259?source=searchresults</v>
      </c>
    </row>
    <row r="24" spans="1:19" hidden="1" x14ac:dyDescent="0.25">
      <c r="A24" t="s">
        <v>18</v>
      </c>
      <c r="B24" t="s">
        <v>93</v>
      </c>
      <c r="C24" t="s">
        <v>94</v>
      </c>
      <c r="D24" t="s">
        <v>21</v>
      </c>
      <c r="E24" t="s">
        <v>22</v>
      </c>
      <c r="F24" t="s">
        <v>90</v>
      </c>
      <c r="G24" t="s">
        <v>24</v>
      </c>
      <c r="H24" t="s">
        <v>25</v>
      </c>
      <c r="I24" s="4">
        <v>0.95</v>
      </c>
      <c r="J24" t="s">
        <v>26</v>
      </c>
      <c r="K24" t="s">
        <v>95</v>
      </c>
      <c r="L24" t="s">
        <v>96</v>
      </c>
      <c r="M24" t="s">
        <v>29</v>
      </c>
      <c r="N24" t="s">
        <v>25</v>
      </c>
      <c r="S24" s="1" t="str">
        <f>HYPERLINK(Table1[[#This Row],[link]])</f>
        <v>https://www.jobbank.gc.ca/jobsearch/jobposting/49328981?source=searchresults</v>
      </c>
    </row>
    <row r="25" spans="1:19" hidden="1" x14ac:dyDescent="0.25">
      <c r="A25" t="s">
        <v>18</v>
      </c>
      <c r="B25" t="s">
        <v>93</v>
      </c>
      <c r="C25" t="s">
        <v>97</v>
      </c>
      <c r="D25" t="s">
        <v>21</v>
      </c>
      <c r="E25" t="s">
        <v>22</v>
      </c>
      <c r="F25" t="s">
        <v>90</v>
      </c>
      <c r="G25" t="s">
        <v>24</v>
      </c>
      <c r="H25" t="s">
        <v>25</v>
      </c>
      <c r="I25" s="4">
        <v>0.95</v>
      </c>
      <c r="J25" t="s">
        <v>26</v>
      </c>
      <c r="K25" t="s">
        <v>98</v>
      </c>
      <c r="L25" t="s">
        <v>99</v>
      </c>
      <c r="M25" t="s">
        <v>29</v>
      </c>
      <c r="N25" t="s">
        <v>25</v>
      </c>
      <c r="S25" s="1" t="str">
        <f>HYPERLINK(Table1[[#This Row],[link]])</f>
        <v>https://www.jobbank.gc.ca/jobsearch/jobposting/49329209?source=searchresults</v>
      </c>
    </row>
    <row r="26" spans="1:19" hidden="1" x14ac:dyDescent="0.25">
      <c r="A26" t="s">
        <v>18</v>
      </c>
      <c r="B26" t="s">
        <v>100</v>
      </c>
      <c r="C26" t="s">
        <v>101</v>
      </c>
      <c r="D26" t="s">
        <v>21</v>
      </c>
      <c r="E26" t="s">
        <v>22</v>
      </c>
      <c r="F26" t="s">
        <v>90</v>
      </c>
      <c r="G26" t="s">
        <v>24</v>
      </c>
      <c r="H26" t="s">
        <v>25</v>
      </c>
      <c r="I26" s="4">
        <v>0.95</v>
      </c>
      <c r="J26" t="s">
        <v>26</v>
      </c>
      <c r="K26" t="s">
        <v>102</v>
      </c>
      <c r="L26" t="s">
        <v>103</v>
      </c>
      <c r="M26" t="s">
        <v>29</v>
      </c>
      <c r="N26" t="s">
        <v>25</v>
      </c>
      <c r="S26" s="1" t="str">
        <f>HYPERLINK(Table1[[#This Row],[link]])</f>
        <v>https://www.jobbank.gc.ca/jobsearch/jobposting/49265688?source=searchresults</v>
      </c>
    </row>
    <row r="27" spans="1:19" hidden="1" x14ac:dyDescent="0.25">
      <c r="A27" t="s">
        <v>18</v>
      </c>
      <c r="B27" t="s">
        <v>104</v>
      </c>
      <c r="C27" t="s">
        <v>105</v>
      </c>
      <c r="D27" t="s">
        <v>21</v>
      </c>
      <c r="E27" t="s">
        <v>22</v>
      </c>
      <c r="F27" t="s">
        <v>90</v>
      </c>
      <c r="G27" t="s">
        <v>24</v>
      </c>
      <c r="H27" t="s">
        <v>25</v>
      </c>
      <c r="I27" s="4">
        <v>0.95</v>
      </c>
      <c r="J27" t="s">
        <v>26</v>
      </c>
      <c r="K27" t="s">
        <v>106</v>
      </c>
      <c r="L27" t="s">
        <v>107</v>
      </c>
      <c r="M27" t="s">
        <v>29</v>
      </c>
      <c r="N27" t="s">
        <v>25</v>
      </c>
      <c r="S27" s="1" t="str">
        <f>HYPERLINK(Table1[[#This Row],[link]])</f>
        <v>https://www.jobbank.gc.ca/jobsearch/jobposting/49244112?source=searchresults</v>
      </c>
    </row>
    <row r="28" spans="1:19" hidden="1" x14ac:dyDescent="0.25">
      <c r="A28" t="s">
        <v>18</v>
      </c>
      <c r="B28" t="s">
        <v>108</v>
      </c>
      <c r="C28" t="s">
        <v>58</v>
      </c>
      <c r="D28" t="s">
        <v>21</v>
      </c>
      <c r="E28" t="s">
        <v>22</v>
      </c>
      <c r="F28" t="s">
        <v>90</v>
      </c>
      <c r="G28" t="s">
        <v>24</v>
      </c>
      <c r="H28" t="s">
        <v>25</v>
      </c>
      <c r="I28" s="4">
        <v>0.95</v>
      </c>
      <c r="J28" t="s">
        <v>26</v>
      </c>
      <c r="K28" t="s">
        <v>109</v>
      </c>
      <c r="L28" t="s">
        <v>110</v>
      </c>
      <c r="M28" t="s">
        <v>29</v>
      </c>
      <c r="N28" t="s">
        <v>25</v>
      </c>
      <c r="S28" s="1" t="str">
        <f>HYPERLINK(Table1[[#This Row],[link]])</f>
        <v>https://www.jobbank.gc.ca/jobsearch/jobposting/49265748?source=searchresults</v>
      </c>
    </row>
    <row r="29" spans="1:19" hidden="1" x14ac:dyDescent="0.25">
      <c r="A29" t="s">
        <v>18</v>
      </c>
      <c r="B29" t="s">
        <v>111</v>
      </c>
      <c r="C29" t="s">
        <v>112</v>
      </c>
      <c r="D29" t="s">
        <v>21</v>
      </c>
      <c r="E29" t="s">
        <v>22</v>
      </c>
      <c r="F29" t="s">
        <v>90</v>
      </c>
      <c r="G29" t="s">
        <v>24</v>
      </c>
      <c r="H29" t="s">
        <v>25</v>
      </c>
      <c r="I29" s="4">
        <v>0.95</v>
      </c>
      <c r="J29" t="s">
        <v>26</v>
      </c>
      <c r="K29" t="s">
        <v>113</v>
      </c>
      <c r="L29" t="s">
        <v>114</v>
      </c>
      <c r="M29" t="s">
        <v>29</v>
      </c>
      <c r="N29" t="s">
        <v>25</v>
      </c>
      <c r="S29" s="1" t="str">
        <f>HYPERLINK(Table1[[#This Row],[link]])</f>
        <v>https://www.jobbank.gc.ca/jobsearch/jobposting/49240266?source=searchresults</v>
      </c>
    </row>
    <row r="30" spans="1:19" hidden="1" x14ac:dyDescent="0.25">
      <c r="A30" t="s">
        <v>18</v>
      </c>
      <c r="B30" t="s">
        <v>115</v>
      </c>
      <c r="C30" t="s">
        <v>39</v>
      </c>
      <c r="D30" t="s">
        <v>21</v>
      </c>
      <c r="E30" t="s">
        <v>22</v>
      </c>
      <c r="F30" t="s">
        <v>90</v>
      </c>
      <c r="G30" t="s">
        <v>116</v>
      </c>
      <c r="H30" t="s">
        <v>25</v>
      </c>
      <c r="I30" s="4">
        <v>0.95</v>
      </c>
      <c r="J30" t="s">
        <v>26</v>
      </c>
      <c r="K30" t="s">
        <v>117</v>
      </c>
      <c r="L30" t="s">
        <v>118</v>
      </c>
      <c r="M30" t="s">
        <v>29</v>
      </c>
      <c r="N30" t="s">
        <v>25</v>
      </c>
      <c r="S30" s="1" t="str">
        <f>HYPERLINK(Table1[[#This Row],[link]])</f>
        <v>https://www.jobbank.gc.ca/jobsearch/jobposting/49227585?source=searchresults</v>
      </c>
    </row>
    <row r="31" spans="1:19" hidden="1" x14ac:dyDescent="0.25">
      <c r="A31" t="s">
        <v>18</v>
      </c>
      <c r="B31" t="s">
        <v>119</v>
      </c>
      <c r="C31" t="s">
        <v>120</v>
      </c>
      <c r="D31" t="s">
        <v>21</v>
      </c>
      <c r="E31" t="s">
        <v>22</v>
      </c>
      <c r="F31" t="s">
        <v>90</v>
      </c>
      <c r="G31" t="s">
        <v>24</v>
      </c>
      <c r="H31" t="s">
        <v>25</v>
      </c>
      <c r="I31" s="4">
        <v>0.95</v>
      </c>
      <c r="J31" t="s">
        <v>26</v>
      </c>
      <c r="K31" t="s">
        <v>121</v>
      </c>
      <c r="L31" t="s">
        <v>122</v>
      </c>
      <c r="M31" t="s">
        <v>29</v>
      </c>
      <c r="N31" t="s">
        <v>25</v>
      </c>
      <c r="S31" s="1" t="str">
        <f>HYPERLINK(Table1[[#This Row],[link]])</f>
        <v>https://www.jobbank.gc.ca/jobsearch/jobposting/49228695?source=searchresults</v>
      </c>
    </row>
    <row r="32" spans="1:19" hidden="1" x14ac:dyDescent="0.25">
      <c r="A32" t="s">
        <v>18</v>
      </c>
      <c r="B32" t="s">
        <v>123</v>
      </c>
      <c r="C32" t="s">
        <v>124</v>
      </c>
      <c r="D32" t="s">
        <v>21</v>
      </c>
      <c r="E32" t="s">
        <v>116</v>
      </c>
      <c r="F32" t="s">
        <v>125</v>
      </c>
      <c r="G32" t="s">
        <v>24</v>
      </c>
      <c r="H32" t="s">
        <v>25</v>
      </c>
      <c r="I32" s="4">
        <v>0.95</v>
      </c>
      <c r="J32" t="s">
        <v>126</v>
      </c>
      <c r="K32" t="s">
        <v>127</v>
      </c>
      <c r="L32" t="s">
        <v>128</v>
      </c>
      <c r="M32" t="s">
        <v>29</v>
      </c>
      <c r="N32" t="s">
        <v>25</v>
      </c>
      <c r="S32" s="1" t="str">
        <f>HYPERLINK(Table1[[#This Row],[link]])</f>
        <v>https://www.jobbank.gc.ca/jobsearch/jobposting/49226917?source=searchresults</v>
      </c>
    </row>
    <row r="33" spans="1:19" hidden="1" x14ac:dyDescent="0.25">
      <c r="A33" t="s">
        <v>18</v>
      </c>
      <c r="B33" t="s">
        <v>129</v>
      </c>
      <c r="C33" t="s">
        <v>130</v>
      </c>
      <c r="D33" t="s">
        <v>21</v>
      </c>
      <c r="E33" t="s">
        <v>131</v>
      </c>
      <c r="F33" t="s">
        <v>18</v>
      </c>
      <c r="G33" t="s">
        <v>24</v>
      </c>
      <c r="H33" t="s">
        <v>25</v>
      </c>
      <c r="I33" s="4">
        <v>0.95</v>
      </c>
      <c r="J33" t="s">
        <v>132</v>
      </c>
      <c r="K33" t="s">
        <v>133</v>
      </c>
      <c r="L33" t="s">
        <v>134</v>
      </c>
      <c r="M33" t="s">
        <v>29</v>
      </c>
      <c r="N33" t="s">
        <v>25</v>
      </c>
      <c r="S33" s="1" t="str">
        <f>HYPERLINK(Table1[[#This Row],[link]])</f>
        <v>https://www.jobbank.gc.ca/jobsearch/jobposting/49207332?source=searchresults</v>
      </c>
    </row>
    <row r="34" spans="1:19" hidden="1" x14ac:dyDescent="0.25">
      <c r="A34" t="s">
        <v>18</v>
      </c>
      <c r="B34" t="s">
        <v>135</v>
      </c>
      <c r="C34" t="s">
        <v>136</v>
      </c>
      <c r="D34" t="s">
        <v>21</v>
      </c>
      <c r="E34" t="s">
        <v>131</v>
      </c>
      <c r="F34" t="s">
        <v>18</v>
      </c>
      <c r="G34" t="s">
        <v>24</v>
      </c>
      <c r="H34" t="s">
        <v>25</v>
      </c>
      <c r="I34" s="4">
        <v>0.95</v>
      </c>
      <c r="J34" t="s">
        <v>132</v>
      </c>
      <c r="K34" t="s">
        <v>137</v>
      </c>
      <c r="L34" t="s">
        <v>138</v>
      </c>
      <c r="M34" t="s">
        <v>29</v>
      </c>
      <c r="N34" t="s">
        <v>25</v>
      </c>
      <c r="S34" s="1" t="str">
        <f>HYPERLINK(Table1[[#This Row],[link]])</f>
        <v>https://www.jobbank.gc.ca/jobsearch/jobposting/49213371?source=searchresults</v>
      </c>
    </row>
    <row r="35" spans="1:19" x14ac:dyDescent="0.25">
      <c r="A35" t="s">
        <v>217</v>
      </c>
      <c r="B35" t="s">
        <v>218</v>
      </c>
      <c r="C35" t="s">
        <v>269</v>
      </c>
      <c r="D35" t="s">
        <v>142</v>
      </c>
      <c r="E35" t="s">
        <v>22</v>
      </c>
      <c r="F35" t="s">
        <v>219</v>
      </c>
      <c r="G35" t="s">
        <v>22</v>
      </c>
      <c r="H35" t="s">
        <v>25</v>
      </c>
      <c r="I35" s="4">
        <v>0.95</v>
      </c>
      <c r="J35" t="s">
        <v>220</v>
      </c>
      <c r="K35" s="2" t="s">
        <v>221</v>
      </c>
      <c r="L35" t="s">
        <v>222</v>
      </c>
      <c r="M35" t="s">
        <v>29</v>
      </c>
      <c r="N35" s="2" t="s">
        <v>264</v>
      </c>
      <c r="O35" t="s">
        <v>265</v>
      </c>
      <c r="P35" t="s">
        <v>266</v>
      </c>
      <c r="Q35" t="s">
        <v>267</v>
      </c>
      <c r="R35" t="s">
        <v>268</v>
      </c>
      <c r="S35" s="1" t="str">
        <f>HYPERLINK(Table1[[#This Row],[link]])</f>
        <v>https://www.simplyhired.ca/job/yA9PnEeEAOnAcRggF_yzgxWOB2jTn-cKYiC7nR8PAqsW-wLN02_KVA</v>
      </c>
    </row>
    <row r="36" spans="1:19" x14ac:dyDescent="0.25">
      <c r="A36" t="s">
        <v>195</v>
      </c>
      <c r="B36" t="s">
        <v>196</v>
      </c>
      <c r="C36" t="s">
        <v>269</v>
      </c>
      <c r="D36" t="s">
        <v>142</v>
      </c>
      <c r="E36" t="s">
        <v>143</v>
      </c>
      <c r="F36" t="s">
        <v>187</v>
      </c>
      <c r="G36" t="s">
        <v>24</v>
      </c>
      <c r="H36" t="s">
        <v>25</v>
      </c>
      <c r="I36" s="4">
        <v>0.95</v>
      </c>
      <c r="J36" t="s">
        <v>197</v>
      </c>
      <c r="K36" s="2" t="s">
        <v>198</v>
      </c>
      <c r="L36" t="s">
        <v>199</v>
      </c>
      <c r="M36" t="s">
        <v>29</v>
      </c>
      <c r="N36" s="2" t="s">
        <v>264</v>
      </c>
      <c r="O36" t="s">
        <v>265</v>
      </c>
      <c r="P36" t="s">
        <v>266</v>
      </c>
      <c r="Q36" t="s">
        <v>267</v>
      </c>
      <c r="R36" t="s">
        <v>268</v>
      </c>
      <c r="S36" s="1" t="str">
        <f>HYPERLINK(Table1[[#This Row],[link]])</f>
        <v>https://www.simplyhired.ca/job/RfEgu6eDu7yLGhweSoGsZsXfViFdTxWpRPZUPx0dwuIJOPxq0qIGmg</v>
      </c>
    </row>
    <row r="37" spans="1:19" x14ac:dyDescent="0.25">
      <c r="A37" t="s">
        <v>211</v>
      </c>
      <c r="B37" t="s">
        <v>212</v>
      </c>
      <c r="C37" t="s">
        <v>213</v>
      </c>
      <c r="D37" t="s">
        <v>142</v>
      </c>
      <c r="E37" t="s">
        <v>22</v>
      </c>
      <c r="F37" t="s">
        <v>90</v>
      </c>
      <c r="G37" t="s">
        <v>22</v>
      </c>
      <c r="H37" t="s">
        <v>25</v>
      </c>
      <c r="I37" s="4">
        <v>0.95</v>
      </c>
      <c r="J37" t="s">
        <v>214</v>
      </c>
      <c r="K37" s="2" t="s">
        <v>215</v>
      </c>
      <c r="L37" t="s">
        <v>216</v>
      </c>
      <c r="M37" t="s">
        <v>29</v>
      </c>
      <c r="N37" s="2" t="s">
        <v>264</v>
      </c>
      <c r="O37" t="s">
        <v>265</v>
      </c>
      <c r="P37" t="s">
        <v>266</v>
      </c>
      <c r="Q37" t="s">
        <v>267</v>
      </c>
      <c r="R37" t="s">
        <v>268</v>
      </c>
      <c r="S37" s="1" t="str">
        <f>HYPERLINK(Table1[[#This Row],[link]])</f>
        <v>https://www.simplyhired.ca/job/ER2hvUOhX3CMcBkR_kmUFOWnyhp9MAEOfILo5hvvCNpACa2ZStxQTQ</v>
      </c>
    </row>
    <row r="38" spans="1:19" x14ac:dyDescent="0.25">
      <c r="A38" t="s">
        <v>223</v>
      </c>
      <c r="B38" t="s">
        <v>224</v>
      </c>
      <c r="C38" t="s">
        <v>225</v>
      </c>
      <c r="D38" t="s">
        <v>142</v>
      </c>
      <c r="E38" t="s">
        <v>116</v>
      </c>
      <c r="F38" t="s">
        <v>125</v>
      </c>
      <c r="G38" t="s">
        <v>116</v>
      </c>
      <c r="H38" t="s">
        <v>25</v>
      </c>
      <c r="I38" s="4">
        <v>0.95</v>
      </c>
      <c r="J38" t="s">
        <v>226</v>
      </c>
      <c r="K38" s="2" t="s">
        <v>227</v>
      </c>
      <c r="L38" t="s">
        <v>228</v>
      </c>
      <c r="M38" t="s">
        <v>29</v>
      </c>
      <c r="N38" s="2" t="s">
        <v>264</v>
      </c>
      <c r="O38" t="s">
        <v>270</v>
      </c>
      <c r="P38" t="s">
        <v>270</v>
      </c>
      <c r="Q38" t="s">
        <v>271</v>
      </c>
      <c r="R38" t="s">
        <v>268</v>
      </c>
      <c r="S38" s="1" t="str">
        <f>HYPERLINK(Table1[[#This Row],[link]])</f>
        <v>https://www.simplyhired.ca/job/T_vbhGu5Au34o0whFXgOqO5HC3R37K1JhMJmr-jQzTAXb2JzkuOL0A</v>
      </c>
    </row>
    <row r="39" spans="1:19" x14ac:dyDescent="0.25">
      <c r="A39" t="s">
        <v>139</v>
      </c>
      <c r="B39" t="s">
        <v>140</v>
      </c>
      <c r="C39" t="s">
        <v>141</v>
      </c>
      <c r="D39" t="s">
        <v>142</v>
      </c>
      <c r="E39" t="s">
        <v>143</v>
      </c>
      <c r="F39" t="s">
        <v>144</v>
      </c>
      <c r="G39" t="s">
        <v>145</v>
      </c>
      <c r="H39" t="s">
        <v>146</v>
      </c>
      <c r="I39" s="4">
        <v>0.95</v>
      </c>
      <c r="J39" t="s">
        <v>147</v>
      </c>
      <c r="K39" s="2" t="s">
        <v>148</v>
      </c>
      <c r="L39" t="s">
        <v>149</v>
      </c>
      <c r="M39" t="s">
        <v>29</v>
      </c>
      <c r="N39" s="2" t="s">
        <v>264</v>
      </c>
      <c r="O39" t="s">
        <v>270</v>
      </c>
      <c r="P39" t="s">
        <v>270</v>
      </c>
      <c r="Q39" t="s">
        <v>271</v>
      </c>
      <c r="R39" t="s">
        <v>268</v>
      </c>
      <c r="S39" s="1" t="str">
        <f>HYPERLINK(Table1[[#This Row],[link]])</f>
        <v>https://www.simplyhired.ca/job/dZD4TlGcZmS7vLGB9bHROQ3p7msUtCE7qCfkDQCt8Ia1GOlAIHH4Hw</v>
      </c>
    </row>
    <row r="40" spans="1:19" x14ac:dyDescent="0.25">
      <c r="A40" t="s">
        <v>139</v>
      </c>
      <c r="B40" t="s">
        <v>150</v>
      </c>
      <c r="C40" t="s">
        <v>151</v>
      </c>
      <c r="D40" t="s">
        <v>142</v>
      </c>
      <c r="E40" t="s">
        <v>143</v>
      </c>
      <c r="F40" t="s">
        <v>144</v>
      </c>
      <c r="G40" t="s">
        <v>152</v>
      </c>
      <c r="H40" t="s">
        <v>25</v>
      </c>
      <c r="I40" s="4">
        <v>0.95</v>
      </c>
      <c r="J40" t="s">
        <v>153</v>
      </c>
      <c r="K40" s="2" t="s">
        <v>154</v>
      </c>
      <c r="L40" t="s">
        <v>155</v>
      </c>
      <c r="M40" t="s">
        <v>29</v>
      </c>
      <c r="N40" s="2" t="s">
        <v>264</v>
      </c>
      <c r="O40" t="s">
        <v>265</v>
      </c>
      <c r="P40" t="s">
        <v>266</v>
      </c>
      <c r="Q40" t="s">
        <v>267</v>
      </c>
      <c r="R40" t="s">
        <v>268</v>
      </c>
      <c r="S40" s="1" t="str">
        <f>HYPERLINK(Table1[[#This Row],[link]])</f>
        <v>https://www.simplyhired.ca/job/XSOsAUGnFhkyuwDADhZSaJ29npGZVUI8UpEFBK2mwKtUDhTJUxSlqg</v>
      </c>
    </row>
    <row r="41" spans="1:19" x14ac:dyDescent="0.25">
      <c r="A41" t="s">
        <v>168</v>
      </c>
      <c r="B41" t="s">
        <v>169</v>
      </c>
      <c r="C41" t="s">
        <v>170</v>
      </c>
      <c r="D41" t="s">
        <v>142</v>
      </c>
      <c r="E41" t="s">
        <v>143</v>
      </c>
      <c r="F41" t="s">
        <v>144</v>
      </c>
      <c r="G41" t="s">
        <v>24</v>
      </c>
      <c r="H41" t="s">
        <v>25</v>
      </c>
      <c r="I41" s="4">
        <v>0.95</v>
      </c>
      <c r="J41" t="s">
        <v>171</v>
      </c>
      <c r="K41" s="2" t="s">
        <v>172</v>
      </c>
      <c r="L41" t="s">
        <v>173</v>
      </c>
      <c r="M41" t="s">
        <v>29</v>
      </c>
      <c r="N41" s="2" t="s">
        <v>264</v>
      </c>
      <c r="O41" t="s">
        <v>265</v>
      </c>
      <c r="P41" t="s">
        <v>266</v>
      </c>
      <c r="Q41" t="s">
        <v>267</v>
      </c>
      <c r="R41" t="s">
        <v>268</v>
      </c>
      <c r="S41" s="1" t="str">
        <f>HYPERLINK(Table1[[#This Row],[link]])</f>
        <v>https://www.simplyhired.ca/job/6iIxRVCGp-0umbjdvHzBU8X9PIId8XytMAP6ntgoj7ismaw_fDqANw</v>
      </c>
    </row>
    <row r="42" spans="1:19" x14ac:dyDescent="0.25">
      <c r="A42" t="s">
        <v>174</v>
      </c>
      <c r="B42" t="s">
        <v>175</v>
      </c>
      <c r="C42" t="s">
        <v>141</v>
      </c>
      <c r="D42" t="s">
        <v>142</v>
      </c>
      <c r="E42" t="s">
        <v>143</v>
      </c>
      <c r="F42" t="s">
        <v>144</v>
      </c>
      <c r="G42" t="s">
        <v>24</v>
      </c>
      <c r="H42" t="s">
        <v>146</v>
      </c>
      <c r="I42" s="4">
        <v>0.95</v>
      </c>
      <c r="J42" t="s">
        <v>176</v>
      </c>
      <c r="K42" s="2" t="s">
        <v>177</v>
      </c>
      <c r="L42" t="s">
        <v>178</v>
      </c>
      <c r="M42" t="s">
        <v>29</v>
      </c>
      <c r="N42" s="2" t="s">
        <v>264</v>
      </c>
      <c r="O42" t="s">
        <v>265</v>
      </c>
      <c r="P42" t="s">
        <v>266</v>
      </c>
      <c r="Q42" t="s">
        <v>267</v>
      </c>
      <c r="R42" t="s">
        <v>268</v>
      </c>
      <c r="S42" s="1" t="str">
        <f>HYPERLINK(Table1[[#This Row],[link]])</f>
        <v>https://www.simplyhired.ca/job/0D9mNqpc2DPT_SBCEDk6dcXwVaNJWOhK1QkOxIJMK0ZHrGVzLv7Vvw</v>
      </c>
    </row>
    <row r="43" spans="1:19" x14ac:dyDescent="0.25">
      <c r="A43" t="s">
        <v>206</v>
      </c>
      <c r="B43" t="s">
        <v>207</v>
      </c>
      <c r="C43" t="s">
        <v>208</v>
      </c>
      <c r="D43" t="s">
        <v>142</v>
      </c>
      <c r="E43" t="s">
        <v>143</v>
      </c>
      <c r="F43" t="s">
        <v>203</v>
      </c>
      <c r="G43" t="s">
        <v>116</v>
      </c>
      <c r="H43" t="s">
        <v>25</v>
      </c>
      <c r="I43" s="4">
        <v>0.95</v>
      </c>
      <c r="J43" t="s">
        <v>209</v>
      </c>
      <c r="K43" s="2" t="s">
        <v>272</v>
      </c>
      <c r="L43" t="s">
        <v>210</v>
      </c>
      <c r="M43" t="s">
        <v>29</v>
      </c>
      <c r="N43" s="2" t="s">
        <v>264</v>
      </c>
      <c r="O43" t="s">
        <v>265</v>
      </c>
      <c r="P43" t="s">
        <v>266</v>
      </c>
      <c r="Q43" t="s">
        <v>273</v>
      </c>
      <c r="R43" t="s">
        <v>268</v>
      </c>
      <c r="S43" s="1" t="str">
        <f>HYPERLINK(Table1[[#This Row],[link]])</f>
        <v>https://www.simplyhired.ca/job/Ujt15zTqjqdUF9ST56R-kAUeADsveoig0eV9aEtV-wcrE_HmvsJVxA</v>
      </c>
    </row>
    <row r="44" spans="1:19" x14ac:dyDescent="0.25">
      <c r="A44" t="s">
        <v>156</v>
      </c>
      <c r="B44" t="s">
        <v>157</v>
      </c>
      <c r="C44" t="s">
        <v>158</v>
      </c>
      <c r="D44" t="s">
        <v>142</v>
      </c>
      <c r="E44" t="s">
        <v>143</v>
      </c>
      <c r="F44" t="s">
        <v>144</v>
      </c>
      <c r="G44" t="s">
        <v>24</v>
      </c>
      <c r="H44" t="s">
        <v>159</v>
      </c>
      <c r="I44" s="4">
        <v>0.95</v>
      </c>
      <c r="J44" t="s">
        <v>160</v>
      </c>
      <c r="K44" s="2" t="s">
        <v>278</v>
      </c>
      <c r="L44" t="s">
        <v>161</v>
      </c>
      <c r="M44" t="s">
        <v>29</v>
      </c>
      <c r="N44" s="2" t="s">
        <v>264</v>
      </c>
      <c r="O44" t="s">
        <v>265</v>
      </c>
      <c r="P44" t="s">
        <v>266</v>
      </c>
      <c r="Q44" t="s">
        <v>267</v>
      </c>
      <c r="R44" t="s">
        <v>268</v>
      </c>
      <c r="S44" s="1" t="str">
        <f>HYPERLINK(Table1[[#This Row],[link]])</f>
        <v>https://www.simplyhired.ca/job/8wi5YJHpTA-fxluocTPmAuYAaIJ8p6hmx4SGjQcEiLYjFbBJ1n1k9w</v>
      </c>
    </row>
    <row r="45" spans="1:19" x14ac:dyDescent="0.25">
      <c r="A45" t="s">
        <v>229</v>
      </c>
      <c r="B45" t="s">
        <v>230</v>
      </c>
      <c r="C45" t="s">
        <v>269</v>
      </c>
      <c r="D45" t="s">
        <v>142</v>
      </c>
      <c r="E45" t="s">
        <v>116</v>
      </c>
      <c r="F45" t="s">
        <v>231</v>
      </c>
      <c r="G45" t="s">
        <v>24</v>
      </c>
      <c r="H45" t="s">
        <v>25</v>
      </c>
      <c r="I45" s="4">
        <v>0.95</v>
      </c>
      <c r="J45" t="s">
        <v>232</v>
      </c>
      <c r="K45" s="2" t="s">
        <v>233</v>
      </c>
      <c r="L45" t="s">
        <v>234</v>
      </c>
      <c r="M45" t="s">
        <v>29</v>
      </c>
      <c r="N45" s="2" t="s">
        <v>264</v>
      </c>
      <c r="O45" t="s">
        <v>265</v>
      </c>
      <c r="P45" t="s">
        <v>266</v>
      </c>
      <c r="Q45" t="s">
        <v>267</v>
      </c>
      <c r="R45" t="s">
        <v>268</v>
      </c>
      <c r="S45" s="1" t="str">
        <f>HYPERLINK(Table1[[#This Row],[link]])</f>
        <v>https://www.simplyhired.ca/job/ynC9zjuSIsB9Jsmm9FP1rpYVkUojWsGc2aLQ1saqyR1GyEoWlVC9Iw</v>
      </c>
    </row>
    <row r="46" spans="1:19" x14ac:dyDescent="0.25">
      <c r="A46" t="s">
        <v>200</v>
      </c>
      <c r="B46" t="s">
        <v>201</v>
      </c>
      <c r="C46" t="s">
        <v>202</v>
      </c>
      <c r="D46" t="s">
        <v>142</v>
      </c>
      <c r="E46" t="s">
        <v>143</v>
      </c>
      <c r="F46" t="s">
        <v>203</v>
      </c>
      <c r="G46" t="s">
        <v>22</v>
      </c>
      <c r="H46" t="s">
        <v>146</v>
      </c>
      <c r="I46" s="4">
        <v>0.95</v>
      </c>
      <c r="J46" t="s">
        <v>204</v>
      </c>
      <c r="K46" s="2" t="s">
        <v>274</v>
      </c>
      <c r="L46" t="s">
        <v>205</v>
      </c>
      <c r="M46" t="s">
        <v>29</v>
      </c>
      <c r="N46" s="2" t="s">
        <v>264</v>
      </c>
      <c r="O46" t="s">
        <v>265</v>
      </c>
      <c r="P46" t="s">
        <v>266</v>
      </c>
      <c r="Q46" t="s">
        <v>267</v>
      </c>
      <c r="R46" t="s">
        <v>268</v>
      </c>
      <c r="S46" s="1" t="str">
        <f>HYPERLINK(Table1[[#This Row],[link]])</f>
        <v>https://www.simplyhired.ca/job/hW0AUC393UEuZuMnAUOGXpe8qZ6TOSszvBTpek3oW3wZO_QfedbE7Q</v>
      </c>
    </row>
    <row r="47" spans="1:19" x14ac:dyDescent="0.25">
      <c r="A47" t="s">
        <v>190</v>
      </c>
      <c r="B47" t="s">
        <v>191</v>
      </c>
      <c r="C47" t="s">
        <v>20</v>
      </c>
      <c r="D47" t="s">
        <v>142</v>
      </c>
      <c r="E47" t="s">
        <v>143</v>
      </c>
      <c r="F47" t="s">
        <v>187</v>
      </c>
      <c r="G47" t="s">
        <v>24</v>
      </c>
      <c r="H47" t="s">
        <v>146</v>
      </c>
      <c r="I47" s="4">
        <v>0.95</v>
      </c>
      <c r="J47" t="s">
        <v>192</v>
      </c>
      <c r="K47" s="2" t="s">
        <v>193</v>
      </c>
      <c r="L47" t="s">
        <v>194</v>
      </c>
      <c r="M47" t="s">
        <v>29</v>
      </c>
      <c r="N47" s="2" t="s">
        <v>264</v>
      </c>
      <c r="O47" t="s">
        <v>265</v>
      </c>
      <c r="P47" t="s">
        <v>266</v>
      </c>
      <c r="Q47" t="s">
        <v>267</v>
      </c>
      <c r="R47" t="s">
        <v>268</v>
      </c>
      <c r="S47" s="1" t="str">
        <f>HYPERLINK(Table1[[#This Row],[link]])</f>
        <v>https://www.simplyhired.ca/job/6s0jDazB5U_T84nK1HArnYyVLSFwcCdKwh8GikRylj51mt4CFi5C5g</v>
      </c>
    </row>
    <row r="48" spans="1:19" x14ac:dyDescent="0.25">
      <c r="A48" t="s">
        <v>179</v>
      </c>
      <c r="B48" t="s">
        <v>180</v>
      </c>
      <c r="C48" t="s">
        <v>181</v>
      </c>
      <c r="D48" t="s">
        <v>142</v>
      </c>
      <c r="E48" t="s">
        <v>143</v>
      </c>
      <c r="F48" t="s">
        <v>144</v>
      </c>
      <c r="G48" t="s">
        <v>116</v>
      </c>
      <c r="H48" t="s">
        <v>25</v>
      </c>
      <c r="I48" s="4">
        <v>0.95</v>
      </c>
      <c r="J48" t="s">
        <v>182</v>
      </c>
      <c r="K48" s="2" t="s">
        <v>183</v>
      </c>
      <c r="L48" t="s">
        <v>184</v>
      </c>
      <c r="M48" t="s">
        <v>29</v>
      </c>
      <c r="N48" s="2" t="s">
        <v>264</v>
      </c>
      <c r="O48" t="s">
        <v>265</v>
      </c>
      <c r="P48" t="s">
        <v>266</v>
      </c>
      <c r="Q48" t="s">
        <v>267</v>
      </c>
      <c r="R48" t="s">
        <v>268</v>
      </c>
      <c r="S48" s="1" t="str">
        <f>HYPERLINK(Table1[[#This Row],[link]])</f>
        <v>https://www.simplyhired.ca/job/z9AnOt9JFMexNuubesgkEHQwZDYwKufH_EwLq1bZn6v38-FYoDwc_A</v>
      </c>
    </row>
    <row r="49" spans="1:19" x14ac:dyDescent="0.25">
      <c r="A49" t="s">
        <v>185</v>
      </c>
      <c r="B49" t="s">
        <v>186</v>
      </c>
      <c r="C49" t="s">
        <v>269</v>
      </c>
      <c r="D49" t="s">
        <v>142</v>
      </c>
      <c r="E49" t="s">
        <v>143</v>
      </c>
      <c r="F49" t="s">
        <v>187</v>
      </c>
      <c r="G49" t="s">
        <v>145</v>
      </c>
      <c r="H49" t="s">
        <v>25</v>
      </c>
      <c r="I49" s="4">
        <v>0.95</v>
      </c>
      <c r="J49" t="s">
        <v>188</v>
      </c>
      <c r="K49" s="2" t="s">
        <v>277</v>
      </c>
      <c r="L49" t="s">
        <v>189</v>
      </c>
      <c r="M49" t="s">
        <v>29</v>
      </c>
      <c r="N49" s="2" t="s">
        <v>264</v>
      </c>
      <c r="O49" t="s">
        <v>265</v>
      </c>
      <c r="P49" t="s">
        <v>266</v>
      </c>
      <c r="Q49" t="s">
        <v>267</v>
      </c>
      <c r="R49" t="s">
        <v>268</v>
      </c>
      <c r="S49" s="1" t="str">
        <f>HYPERLINK(Table1[[#This Row],[link]])</f>
        <v>https://www.simplyhired.ca/job/wYk_mHp6ZQbjH9djyBTohKtXAM5p0Vn34PHYd76fL_OMvjs-WJ8elA</v>
      </c>
    </row>
    <row r="50" spans="1:19" x14ac:dyDescent="0.25">
      <c r="A50" t="s">
        <v>162</v>
      </c>
      <c r="B50" t="s">
        <v>163</v>
      </c>
      <c r="C50" t="s">
        <v>164</v>
      </c>
      <c r="D50" t="s">
        <v>142</v>
      </c>
      <c r="E50" t="s">
        <v>143</v>
      </c>
      <c r="F50" t="s">
        <v>144</v>
      </c>
      <c r="G50" t="s">
        <v>22</v>
      </c>
      <c r="H50" t="s">
        <v>146</v>
      </c>
      <c r="I50" s="4">
        <v>0.95</v>
      </c>
      <c r="J50" t="s">
        <v>165</v>
      </c>
      <c r="K50" s="2" t="s">
        <v>166</v>
      </c>
      <c r="L50" t="s">
        <v>167</v>
      </c>
      <c r="M50" t="s">
        <v>29</v>
      </c>
      <c r="N50" s="2" t="s">
        <v>264</v>
      </c>
      <c r="O50" t="s">
        <v>265</v>
      </c>
      <c r="P50" t="s">
        <v>266</v>
      </c>
      <c r="Q50" t="s">
        <v>267</v>
      </c>
      <c r="R50" t="s">
        <v>268</v>
      </c>
      <c r="S50" s="1" t="str">
        <f>HYPERLINK(Table1[[#This Row],[link]])</f>
        <v>https://www.simplyhired.ca/job/dYKAjTrbL9CI_ZRLJVgdF8qQvVENKFFhrjXY4Gqo7_TMSb0zJzby2g</v>
      </c>
    </row>
    <row r="51" spans="1:19" x14ac:dyDescent="0.25">
      <c r="A51" t="s">
        <v>139</v>
      </c>
      <c r="B51" t="s">
        <v>235</v>
      </c>
      <c r="C51" t="s">
        <v>236</v>
      </c>
      <c r="D51" t="s">
        <v>237</v>
      </c>
      <c r="E51" t="s">
        <v>143</v>
      </c>
      <c r="F51" t="s">
        <v>144</v>
      </c>
      <c r="G51" t="s">
        <v>116</v>
      </c>
      <c r="H51" t="s">
        <v>25</v>
      </c>
      <c r="I51" s="4">
        <v>0.95</v>
      </c>
      <c r="J51" t="s">
        <v>238</v>
      </c>
      <c r="K51" s="2" t="s">
        <v>239</v>
      </c>
      <c r="L51" t="s">
        <v>240</v>
      </c>
      <c r="M51" t="s">
        <v>29</v>
      </c>
      <c r="N51" s="2" t="s">
        <v>264</v>
      </c>
      <c r="O51" t="s">
        <v>265</v>
      </c>
      <c r="P51" t="s">
        <v>266</v>
      </c>
      <c r="Q51" t="s">
        <v>267</v>
      </c>
      <c r="R51" t="s">
        <v>268</v>
      </c>
      <c r="S51" s="1" t="str">
        <f>HYPERLINK(Table1[[#This Row],[link]])</f>
        <v>https://ca.talent.com/view?id=613065147801280304</v>
      </c>
    </row>
    <row r="52" spans="1:19" x14ac:dyDescent="0.25">
      <c r="A52" t="s">
        <v>250</v>
      </c>
      <c r="B52" t="s">
        <v>251</v>
      </c>
      <c r="C52" t="s">
        <v>252</v>
      </c>
      <c r="D52" t="s">
        <v>237</v>
      </c>
      <c r="E52" t="s">
        <v>22</v>
      </c>
      <c r="F52" t="s">
        <v>253</v>
      </c>
      <c r="G52" t="s">
        <v>24</v>
      </c>
      <c r="H52" t="s">
        <v>146</v>
      </c>
      <c r="I52" s="4">
        <v>0.95</v>
      </c>
      <c r="J52" t="s">
        <v>254</v>
      </c>
      <c r="K52" s="2" t="s">
        <v>255</v>
      </c>
      <c r="L52" t="s">
        <v>256</v>
      </c>
      <c r="M52" t="s">
        <v>29</v>
      </c>
      <c r="N52" s="2" t="s">
        <v>264</v>
      </c>
      <c r="O52" t="s">
        <v>265</v>
      </c>
      <c r="P52" t="s">
        <v>266</v>
      </c>
      <c r="Q52" t="s">
        <v>267</v>
      </c>
      <c r="R52" t="s">
        <v>268</v>
      </c>
      <c r="S52" s="1" t="str">
        <f>HYPERLINK(Table1[[#This Row],[link]])</f>
        <v>https://ca.talent.com/view?id=612172319540580003</v>
      </c>
    </row>
    <row r="53" spans="1:19" x14ac:dyDescent="0.25">
      <c r="A53" t="s">
        <v>257</v>
      </c>
      <c r="B53" t="s">
        <v>258</v>
      </c>
      <c r="C53" t="s">
        <v>259</v>
      </c>
      <c r="D53" t="s">
        <v>237</v>
      </c>
      <c r="E53" t="s">
        <v>143</v>
      </c>
      <c r="F53" t="s">
        <v>203</v>
      </c>
      <c r="G53" t="s">
        <v>24</v>
      </c>
      <c r="H53" t="s">
        <v>25</v>
      </c>
      <c r="I53" s="4">
        <v>0.75</v>
      </c>
      <c r="J53" t="s">
        <v>260</v>
      </c>
      <c r="K53" s="2" t="s">
        <v>261</v>
      </c>
      <c r="L53" t="s">
        <v>262</v>
      </c>
      <c r="M53" t="s">
        <v>273</v>
      </c>
      <c r="N53" t="s">
        <v>264</v>
      </c>
      <c r="O53" t="s">
        <v>265</v>
      </c>
      <c r="P53" t="s">
        <v>266</v>
      </c>
      <c r="Q53" t="s">
        <v>267</v>
      </c>
      <c r="R53" t="s">
        <v>268</v>
      </c>
      <c r="S53" s="1" t="str">
        <f>HYPERLINK(Table1[[#This Row],[link]])</f>
        <v>https://ca.talent.com/view?id=617190724796226515</v>
      </c>
    </row>
    <row r="54" spans="1:19" x14ac:dyDescent="0.25">
      <c r="A54" t="s">
        <v>244</v>
      </c>
      <c r="B54" t="s">
        <v>245</v>
      </c>
      <c r="C54" t="s">
        <v>246</v>
      </c>
      <c r="D54" t="s">
        <v>237</v>
      </c>
      <c r="E54" t="s">
        <v>143</v>
      </c>
      <c r="F54" t="s">
        <v>203</v>
      </c>
      <c r="G54" t="s">
        <v>24</v>
      </c>
      <c r="H54" t="s">
        <v>25</v>
      </c>
      <c r="I54" s="4">
        <v>0.95</v>
      </c>
      <c r="J54" t="s">
        <v>247</v>
      </c>
      <c r="K54" s="2" t="s">
        <v>248</v>
      </c>
      <c r="L54" t="s">
        <v>249</v>
      </c>
      <c r="M54" t="s">
        <v>29</v>
      </c>
      <c r="N54" s="2" t="s">
        <v>264</v>
      </c>
      <c r="O54" t="s">
        <v>265</v>
      </c>
      <c r="P54" t="s">
        <v>266</v>
      </c>
      <c r="Q54" t="s">
        <v>267</v>
      </c>
      <c r="R54" t="s">
        <v>268</v>
      </c>
      <c r="S54" s="1" t="str">
        <f>HYPERLINK(Table1[[#This Row],[link]])</f>
        <v>https://ca.talent.com/view?id=587629894895601222</v>
      </c>
    </row>
    <row r="55" spans="1:19" x14ac:dyDescent="0.25">
      <c r="A55" t="s">
        <v>185</v>
      </c>
      <c r="B55" t="s">
        <v>186</v>
      </c>
      <c r="C55" t="s">
        <v>241</v>
      </c>
      <c r="D55" t="s">
        <v>237</v>
      </c>
      <c r="E55" t="s">
        <v>143</v>
      </c>
      <c r="F55" t="s">
        <v>187</v>
      </c>
      <c r="G55" t="s">
        <v>145</v>
      </c>
      <c r="H55" t="s">
        <v>25</v>
      </c>
      <c r="I55" s="4">
        <v>0.95</v>
      </c>
      <c r="J55" t="s">
        <v>242</v>
      </c>
      <c r="K55" s="2" t="s">
        <v>277</v>
      </c>
      <c r="L55" t="s">
        <v>243</v>
      </c>
      <c r="M55" t="s">
        <v>29</v>
      </c>
      <c r="N55" s="2" t="s">
        <v>264</v>
      </c>
      <c r="O55" t="s">
        <v>265</v>
      </c>
      <c r="P55" t="s">
        <v>266</v>
      </c>
      <c r="Q55" t="s">
        <v>267</v>
      </c>
      <c r="R55" t="s">
        <v>268</v>
      </c>
      <c r="S55" s="1" t="str">
        <f>HYPERLINK(Table1[[#This Row],[link]])</f>
        <v>https://ca.talent.com/view?id=607351693525198715</v>
      </c>
    </row>
  </sheetData>
  <conditionalFormatting sqref="A7:A55">
    <cfRule type="containsText" dxfId="1" priority="1" operator="containsText" text="drone technician">
      <formula>NOT(ISERROR(SEARCH("drone technician",A7)))</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jobs_review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Ron Treleaven</cp:lastModifiedBy>
  <dcterms:created xsi:type="dcterms:W3CDTF">2026-05-02T15:16:21Z</dcterms:created>
  <dcterms:modified xsi:type="dcterms:W3CDTF">2026-05-03T17:01:50Z</dcterms:modified>
</cp:coreProperties>
</file>